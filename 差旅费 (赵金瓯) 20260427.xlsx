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2260"/>
  </bookViews>
  <sheets>
    <sheet name="差旅费 (2026年04月-赵金瓯)" sheetId="12" r:id="rId1"/>
    <sheet name="差旅费 (2026年03月-赵金瓯)" sheetId="11" r:id="rId2"/>
    <sheet name="差旅费 (2025年10月-赵金瓯)  " sheetId="9" r:id="rId3"/>
    <sheet name="差旅费 (2025年4月-赵金瓯)   (2)" sheetId="10" r:id="rId4"/>
    <sheet name="差旅费 (2024年11月宝骏广州车展-赵金瓯) " sheetId="8" r:id="rId5"/>
    <sheet name="差旅费 (2024年09月方程豹北京站-赵金瓯) " sheetId="6" r:id="rId6"/>
    <sheet name="差旅费 (2023年7月717音乐节-赵金瓯)  " sheetId="7" r:id="rId7"/>
    <sheet name="差旅费 (2023年4月520烧烤-赵金瓯) " sheetId="5" r:id="rId8"/>
    <sheet name="差旅费 (2023年4月一丰大会-赵金瓯)" sheetId="4" r:id="rId9"/>
    <sheet name="差旅费 (2023一丰大会-赵金瓯)" sheetId="3" r:id="rId10"/>
    <sheet name="差旅费" sheetId="1" r:id="rId11"/>
    <sheet name="招待费" sheetId="2" r:id="rId12"/>
  </sheets>
  <definedNames>
    <definedName name="_xlnm._FilterDatabase" localSheetId="0" hidden="1">'差旅费 (2026年04月-赵金瓯)'!$A$4:$M$35</definedName>
    <definedName name="_xlnm._FilterDatabase" localSheetId="1" hidden="1">'差旅费 (2026年03月-赵金瓯)'!$A$4:$M$16</definedName>
    <definedName name="_xlnm._FilterDatabase" localSheetId="2" hidden="1">'差旅费 (2025年10月-赵金瓯)  '!$A$4:$M$25</definedName>
    <definedName name="_xlnm._FilterDatabase" localSheetId="3" hidden="1">'差旅费 (2025年4月-赵金瓯)   (2)'!$A$4:$M$36</definedName>
    <definedName name="_xlnm._FilterDatabase" localSheetId="4" hidden="1">'差旅费 (2024年11月宝骏广州车展-赵金瓯) '!$A$4:$M$16</definedName>
    <definedName name="_xlnm._FilterDatabase" localSheetId="5" hidden="1">'差旅费 (2024年09月方程豹北京站-赵金瓯) '!$A$4:$M$37</definedName>
    <definedName name="_xlnm._FilterDatabase" localSheetId="6" hidden="1">'差旅费 (2023年7月717音乐节-赵金瓯)  '!$A$4:$M$23</definedName>
    <definedName name="_xlnm._FilterDatabase" localSheetId="7" hidden="1">'差旅费 (2023年4月520烧烤-赵金瓯) '!$A$4:$M$23</definedName>
    <definedName name="_xlnm._FilterDatabase" localSheetId="8" hidden="1">'差旅费 (2023年4月一丰大会-赵金瓯)'!$A$4:$M$28</definedName>
    <definedName name="_xlnm._FilterDatabase" localSheetId="9" hidden="1">'差旅费 (2023一丰大会-赵金瓯)'!$A$3:$M$22</definedName>
    <definedName name="_xlnm._FilterDatabase" localSheetId="10" hidden="1">差旅费!$A$3:$M$20</definedName>
    <definedName name="_xlnm.Print_Titles" localSheetId="10">差旅费!$1:$2</definedName>
    <definedName name="_xlnm.Print_Titles" localSheetId="9">'差旅费 (2023一丰大会-赵金瓯)'!$1:$2</definedName>
    <definedName name="_xlnm.Print_Titles" localSheetId="8">'差旅费 (2023年4月一丰大会-赵金瓯)'!$1:$3</definedName>
    <definedName name="_xlnm.Print_Titles" localSheetId="7">'差旅费 (2023年4月520烧烤-赵金瓯) '!$1:$3</definedName>
    <definedName name="_xlnm.Print_Titles" localSheetId="5">'差旅费 (2024年09月方程豹北京站-赵金瓯) '!$1:$3</definedName>
    <definedName name="_xlnm.Print_Titles" localSheetId="6">'差旅费 (2023年7月717音乐节-赵金瓯)  '!$1:$3</definedName>
    <definedName name="_xlnm.Print_Titles" localSheetId="4">'差旅费 (2024年11月宝骏广州车展-赵金瓯) '!$1:$3</definedName>
    <definedName name="_xlnm.Print_Titles" localSheetId="2">'差旅费 (2025年10月-赵金瓯)  '!$1:$3</definedName>
    <definedName name="_xlnm.Print_Titles" localSheetId="3">'差旅费 (2025年4月-赵金瓯)   (2)'!$1:$3</definedName>
    <definedName name="_xlnm.Print_Titles" localSheetId="1">'差旅费 (2026年03月-赵金瓯)'!$1:$3</definedName>
    <definedName name="_xlnm.Print_Titles" localSheetId="0">'差旅费 (2026年04月-赵金瓯)'!$1:$3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<sst xmlns="http://schemas.openxmlformats.org/spreadsheetml/2006/main" count="1226" uniqueCount="231">
  <si>
    <t xml:space="preserve">差旅费 (2026年04月吉利大会-赵金瓯) </t>
  </si>
  <si>
    <t>日期</t>
  </si>
  <si>
    <t>序号</t>
  </si>
  <si>
    <t>分类</t>
  </si>
  <si>
    <t>交通工具/所处城市</t>
  </si>
  <si>
    <t>明细</t>
  </si>
  <si>
    <t>金额</t>
  </si>
  <si>
    <t>票据</t>
  </si>
  <si>
    <t>备注</t>
  </si>
  <si>
    <t>票据核对（财务填写）</t>
  </si>
  <si>
    <t>商旅</t>
  </si>
  <si>
    <t>个人支付</t>
  </si>
  <si>
    <t>总计</t>
  </si>
  <si>
    <t>市内交通</t>
  </si>
  <si>
    <t>网约车/沈阳</t>
  </si>
  <si>
    <t>家-机场</t>
  </si>
  <si>
    <t>含高速费5元</t>
  </si>
  <si>
    <t>城际交通</t>
  </si>
  <si>
    <t>飞机/沈阳</t>
  </si>
  <si>
    <t>沈阳-杭州</t>
  </si>
  <si>
    <t>网约车/杭州</t>
  </si>
  <si>
    <t>机场-驻点</t>
  </si>
  <si>
    <t>含高速费20元</t>
  </si>
  <si>
    <t>住宿费</t>
  </si>
  <si>
    <t>杭州</t>
  </si>
  <si>
    <t>09日-13日</t>
  </si>
  <si>
    <t>驻点-酒店</t>
  </si>
  <si>
    <t>酒店-驻点</t>
  </si>
  <si>
    <t>-</t>
  </si>
  <si>
    <t>酒店-吉利总部</t>
  </si>
  <si>
    <t>吉利总部-驻点</t>
  </si>
  <si>
    <t>有客户 专车</t>
  </si>
  <si>
    <t>网约车/慈溪</t>
  </si>
  <si>
    <t>极氪工厂-安全中心</t>
  </si>
  <si>
    <t>酒店-国博</t>
  </si>
  <si>
    <t>国博-极氪大厦</t>
  </si>
  <si>
    <t>极氪-酒店</t>
  </si>
  <si>
    <t>酒店-极氪大厦</t>
  </si>
  <si>
    <t>国博-酒店</t>
  </si>
  <si>
    <t>国博-取车</t>
  </si>
  <si>
    <t>还车点-酒店</t>
  </si>
  <si>
    <t>飞机/慈溪</t>
  </si>
  <si>
    <t>杭州-沈阳</t>
  </si>
  <si>
    <t>机场-家</t>
  </si>
  <si>
    <t>含高速费4.5</t>
  </si>
  <si>
    <t>慈溪</t>
  </si>
  <si>
    <t>18日-24日</t>
  </si>
  <si>
    <t>原定我18号去 但没去上 给周立峰住了 我21才去 21之前周立峰与王岩同住</t>
  </si>
  <si>
    <t>21日-23日</t>
  </si>
  <si>
    <t>带了一个三方人员 我们负责住宿</t>
  </si>
  <si>
    <t>24日-25日续住</t>
  </si>
  <si>
    <t>餐补</t>
  </si>
  <si>
    <t>9日-25日</t>
  </si>
  <si>
    <t>17天</t>
  </si>
  <si>
    <t>其他</t>
  </si>
  <si>
    <t>级别补助</t>
  </si>
  <si>
    <t>合计</t>
  </si>
  <si>
    <t>（自主报销部分）汇总</t>
  </si>
  <si>
    <t>汇总</t>
  </si>
  <si>
    <t>主管领导签字：</t>
  </si>
  <si>
    <t>申请备用金金额</t>
  </si>
  <si>
    <t>携程商旅金额</t>
  </si>
  <si>
    <t>招待费</t>
  </si>
  <si>
    <t>阿里商旅金额</t>
  </si>
  <si>
    <t>个人支付合计</t>
  </si>
  <si>
    <t>退款金额</t>
  </si>
  <si>
    <t>补付金额</t>
  </si>
  <si>
    <t xml:space="preserve">差旅费 (2026年03月上海美的大会-赵金瓯) </t>
  </si>
  <si>
    <t>沈阳-上海</t>
  </si>
  <si>
    <t>含高速费13元</t>
  </si>
  <si>
    <t>地铁/上海</t>
  </si>
  <si>
    <t>机场-酒店</t>
  </si>
  <si>
    <t>地铁</t>
  </si>
  <si>
    <t>网约车/上海</t>
  </si>
  <si>
    <t>香格里拉-酒店</t>
  </si>
  <si>
    <t>酒店-香格里拉</t>
  </si>
  <si>
    <t>含高速费12元</t>
  </si>
  <si>
    <t>酒店-机场</t>
  </si>
  <si>
    <t>飞机/上海</t>
  </si>
  <si>
    <t>上海-沈阳</t>
  </si>
  <si>
    <t>上海</t>
  </si>
  <si>
    <t>6号到12号</t>
  </si>
  <si>
    <t>天津</t>
  </si>
  <si>
    <t>7天</t>
  </si>
  <si>
    <t>差旅级别补贴</t>
  </si>
  <si>
    <t xml:space="preserve">差旅费 (2025年10月天津豹体-赵金瓯) </t>
  </si>
  <si>
    <t>火车/沈阳</t>
  </si>
  <si>
    <t>沈阳-天津</t>
  </si>
  <si>
    <t>13晚</t>
  </si>
  <si>
    <t>网约车/天津</t>
  </si>
  <si>
    <t>火车站-酒店</t>
  </si>
  <si>
    <t>酒店-场地</t>
  </si>
  <si>
    <t>场地-酒店</t>
  </si>
  <si>
    <t>酒店-外拍场地</t>
  </si>
  <si>
    <t>外拍场地-场地</t>
  </si>
  <si>
    <t>饭店-酒店</t>
  </si>
  <si>
    <t>魁总请客 吃完饭后打车回酒店</t>
  </si>
  <si>
    <t>酒店-火车站</t>
  </si>
  <si>
    <t>火车站-家</t>
  </si>
  <si>
    <t>火车/天津</t>
  </si>
  <si>
    <t>天津-沈阳</t>
  </si>
  <si>
    <t>退票费</t>
  </si>
  <si>
    <t>原定惠州腾D取消产生退票费</t>
  </si>
  <si>
    <t>14天</t>
  </si>
  <si>
    <t>含十一特殊补助</t>
  </si>
  <si>
    <t xml:space="preserve">差旅费 (2025年05月杭州腾势D展-赵金瓯) </t>
  </si>
  <si>
    <t>1020原票价 改签 140</t>
  </si>
  <si>
    <t>12晚</t>
  </si>
  <si>
    <t>4月24日-5月6日 共12晚</t>
  </si>
  <si>
    <t>机场-展馆</t>
  </si>
  <si>
    <t>酒店-展馆</t>
  </si>
  <si>
    <t>展馆-酒店</t>
  </si>
  <si>
    <t>酒店-经销商</t>
  </si>
  <si>
    <t>经销商-展馆</t>
  </si>
  <si>
    <t>飞机/杭州</t>
  </si>
  <si>
    <t>13天</t>
  </si>
  <si>
    <t>4月28日 5月2日 在项目吃午餐</t>
  </si>
  <si>
    <t xml:space="preserve">差旅费 (2024年11月宝骏广州车展-赵金瓯) </t>
  </si>
  <si>
    <t>沈阳-广州</t>
  </si>
  <si>
    <t>刘总临时通知提前出发，改签机票</t>
  </si>
  <si>
    <t>含高速费</t>
  </si>
  <si>
    <t>网约车/广州</t>
  </si>
  <si>
    <t>会场-炊具城</t>
  </si>
  <si>
    <t>含过路费</t>
  </si>
  <si>
    <t>炊具城-会场</t>
  </si>
  <si>
    <t>酒店-会场</t>
  </si>
  <si>
    <t>周瀚同行，先送周瀚而后到家，司机开错误路，含高速费只收150元</t>
  </si>
  <si>
    <t>飞机/广州</t>
  </si>
  <si>
    <t>广州-沈阳</t>
  </si>
  <si>
    <t>广州</t>
  </si>
  <si>
    <t>7日-16日</t>
  </si>
  <si>
    <t>13-16午餐在项目组吃</t>
  </si>
  <si>
    <t>2024年 09月 方程豹北京站 项目差旅费明细表-报销人 赵金瓯</t>
  </si>
  <si>
    <t>家-北站</t>
  </si>
  <si>
    <t>沈阳-北京</t>
  </si>
  <si>
    <t>北京</t>
  </si>
  <si>
    <t>09/28-10/05</t>
  </si>
  <si>
    <t>网约车/北京</t>
  </si>
  <si>
    <t>酒店-拍摄地点</t>
  </si>
  <si>
    <t>拍摄解散点-场地</t>
  </si>
  <si>
    <t>酒店-饭店</t>
  </si>
  <si>
    <t>火车/北京</t>
  </si>
  <si>
    <t>北京-沈阳</t>
  </si>
  <si>
    <t>9/28-10/5</t>
  </si>
  <si>
    <t>2023年 7月 雅迪717 项目差旅费明细表-报销人 赵金瓯</t>
  </si>
  <si>
    <t>扬州</t>
  </si>
  <si>
    <t>沈阳-扬州</t>
  </si>
  <si>
    <t>网约车/扬州</t>
  </si>
  <si>
    <t>会场-酒店</t>
  </si>
  <si>
    <t>会场-商超</t>
  </si>
  <si>
    <t>采购物料</t>
  </si>
  <si>
    <t>商超-会场</t>
  </si>
  <si>
    <t>会场-饭店</t>
  </si>
  <si>
    <t>会场-机场</t>
  </si>
  <si>
    <t>飞机/扬州</t>
  </si>
  <si>
    <t>扬州-沈阳</t>
  </si>
  <si>
    <t>2023年 4月 一丰大会 项目差旅费明细表-报销人 赵金瓯</t>
  </si>
  <si>
    <t>公司-机场</t>
  </si>
  <si>
    <t>飞机</t>
  </si>
  <si>
    <t>沈阳-银川</t>
  </si>
  <si>
    <t>银川</t>
  </si>
  <si>
    <t>网约车/银川</t>
  </si>
  <si>
    <t>场地-图文社</t>
  </si>
  <si>
    <t>图文社-酒店</t>
  </si>
  <si>
    <t>酒店-图文社</t>
  </si>
  <si>
    <t>银川-沈阳</t>
  </si>
  <si>
    <t>优惠券100</t>
  </si>
  <si>
    <t>沈阳-福州</t>
  </si>
  <si>
    <t>福州</t>
  </si>
  <si>
    <t>王金同住</t>
  </si>
  <si>
    <t>网约车/福州</t>
  </si>
  <si>
    <t>出租车/福州</t>
  </si>
  <si>
    <t>酒店-客户指定饭店</t>
  </si>
  <si>
    <t>58元车费+9元高速费</t>
  </si>
  <si>
    <t>早午饭自行解决</t>
  </si>
  <si>
    <t>酒店-早餐店</t>
  </si>
  <si>
    <t>早餐店-会场</t>
  </si>
  <si>
    <t>会场-庆功饭店</t>
  </si>
  <si>
    <t>飞机/福州</t>
  </si>
  <si>
    <t>2023一丰大会 项目差旅费明细表-报销人 赵金瓯</t>
  </si>
  <si>
    <t>沈阳北-北京朝阳</t>
  </si>
  <si>
    <t>星程酒店-1.9-1.13共5天4晚</t>
  </si>
  <si>
    <t>周立峰同住</t>
  </si>
  <si>
    <t>场地-客户酒店</t>
  </si>
  <si>
    <t>客户接待</t>
  </si>
  <si>
    <t>客户酒店-晚宴饭店</t>
  </si>
  <si>
    <t>陪客户看场地</t>
  </si>
  <si>
    <t>晚宴饭店-场地</t>
  </si>
  <si>
    <t>长期叫不到车，有客户在，其他平台叫车</t>
  </si>
  <si>
    <t>酒店-北京朝阳站</t>
  </si>
  <si>
    <t>到火车站接客户</t>
  </si>
  <si>
    <t>场地-北京朝阳站</t>
  </si>
  <si>
    <t>接客户大客车</t>
  </si>
  <si>
    <t>酒店-客户酒店</t>
  </si>
  <si>
    <t>支援晚宴</t>
  </si>
  <si>
    <t>北京朝阳-沈阳</t>
  </si>
  <si>
    <t>回程火车票</t>
  </si>
  <si>
    <t>客户地点-酒店</t>
  </si>
  <si>
    <t>送东西</t>
  </si>
  <si>
    <t>沈阳站-家</t>
  </si>
  <si>
    <t>回家</t>
  </si>
  <si>
    <t>美的项目差旅费明细表-报销人xx</t>
  </si>
  <si>
    <t>阿里商旅</t>
  </si>
  <si>
    <t>大连</t>
  </si>
  <si>
    <t>晚餐：招待当地经销商xx</t>
  </si>
  <si>
    <t>有</t>
  </si>
  <si>
    <t>火车</t>
  </si>
  <si>
    <t>沈阳-大连</t>
  </si>
  <si>
    <t>火车站至宾馆</t>
  </si>
  <si>
    <t>无</t>
  </si>
  <si>
    <t>午餐：招待当地经销商xx</t>
  </si>
  <si>
    <t>大连-上海</t>
  </si>
  <si>
    <t>携程商旅</t>
  </si>
  <si>
    <t>机场至宾馆</t>
  </si>
  <si>
    <t>汽车</t>
  </si>
  <si>
    <t>上海-杭州</t>
  </si>
  <si>
    <t>客车站至宾馆</t>
  </si>
  <si>
    <t>酒店至机场</t>
  </si>
  <si>
    <t>市内交通：非 常规行程打车 需写明原因</t>
  </si>
  <si>
    <t>沈阳</t>
  </si>
  <si>
    <t>机场至家</t>
  </si>
  <si>
    <t>住宿费：1.退订需写明原因       2.超标需提交部门领导审批</t>
  </si>
  <si>
    <t>2.2-2.4总计三天住宿费</t>
  </si>
  <si>
    <t>城市</t>
  </si>
  <si>
    <t>品牌/项目</t>
  </si>
  <si>
    <t>客户姓名</t>
  </si>
  <si>
    <t>对方人数</t>
  </si>
  <si>
    <t>五菱</t>
  </si>
  <si>
    <t>xx</t>
  </si>
  <si>
    <t>美的</t>
  </si>
  <si>
    <t>广本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</si>
</sst>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#,##0.00_ "/>
    <numFmt numFmtId="178" formatCode="#,##0.00_);[Red]\(#,##0.00\)"/>
    <numFmt numFmtId="179" formatCode="0.00_ "/>
    <numFmt numFmtId="180" formatCode="\¥#,##0.00_);[Red]\(\¥#,##0.00\)"/>
    <numFmt numFmtId="181" formatCode="yyyy/mm/dd"/>
  </numFmts>
  <fonts count="28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2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6" borderId="17" applyNumberFormat="0" applyAlignment="0" applyProtection="0">
      <alignment vertical="center"/>
    </xf>
    <xf numFmtId="0" fontId="19" fillId="7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9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178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78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2" fillId="0" borderId="0" xfId="0" applyFont="1" applyFill="1">
      <alignment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vertical="center" wrapText="1"/>
    </xf>
    <xf numFmtId="180" fontId="2" fillId="3" borderId="1" xfId="0" applyNumberFormat="1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58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vertical="center" wrapText="1"/>
    </xf>
    <xf numFmtId="181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_Sheet1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243840</xdr:colOff>
      <xdr:row>3</xdr:row>
      <xdr:rowOff>145415</xdr:rowOff>
    </xdr:from>
    <xdr:to>
      <xdr:col>17</xdr:col>
      <xdr:colOff>15240</xdr:colOff>
      <xdr:row>21</xdr:row>
      <xdr:rowOff>15875</xdr:rowOff>
    </xdr:to>
    <xdr:pic>
      <xdr:nvPicPr>
        <xdr:cNvPr id="2" name="图片 1" descr="微信截图_2022091515320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39295" y="851535"/>
          <a:ext cx="2166620" cy="4338320"/>
        </a:xfrm>
        <a:prstGeom prst="rect">
          <a:avLst/>
        </a:prstGeom>
      </xdr:spPr>
    </xdr:pic>
    <xdr:clientData/>
  </xdr:twoCellAnchor>
  <xdr:twoCellAnchor>
    <xdr:from>
      <xdr:col>17</xdr:col>
      <xdr:colOff>471805</xdr:colOff>
      <xdr:row>3</xdr:row>
      <xdr:rowOff>177165</xdr:rowOff>
    </xdr:from>
    <xdr:to>
      <xdr:col>21</xdr:col>
      <xdr:colOff>187325</xdr:colOff>
      <xdr:row>21</xdr:row>
      <xdr:rowOff>32385</xdr:rowOff>
    </xdr:to>
    <xdr:pic>
      <xdr:nvPicPr>
        <xdr:cNvPr id="3" name="图片 2" descr="微信截图_202209151534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762480" y="883285"/>
          <a:ext cx="2110740" cy="4323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1"/>
  <sheetViews>
    <sheetView tabSelected="1" workbookViewId="0">
      <pane xSplit="4" ySplit="4" topLeftCell="E5" activePane="bottomRight" state="frozen"/>
      <selection/>
      <selection pane="topRight"/>
      <selection pane="bottomLeft"/>
      <selection pane="bottomRight" activeCell="F31" sqref="F31"/>
    </sheetView>
  </sheetViews>
  <sheetFormatPr defaultColWidth="9" defaultRowHeight="16.8"/>
  <cols>
    <col min="1" max="1" width="22.5" style="12" customWidth="1"/>
    <col min="2" max="2" width="10.4615384615385" style="12" customWidth="1"/>
    <col min="3" max="3" width="15.6923076923077" style="12" customWidth="1"/>
    <col min="4" max="4" width="25.4711538461538" style="12" customWidth="1"/>
    <col min="5" max="5" width="21.3846153846154" style="12" customWidth="1"/>
    <col min="6" max="6" width="15.6923076923077" style="12" customWidth="1"/>
    <col min="7" max="8" width="15.6923076923077" style="13" customWidth="1"/>
    <col min="9" max="9" width="15.6923076923077" style="12" customWidth="1"/>
    <col min="10" max="10" width="77.375" style="14" customWidth="1"/>
    <col min="11" max="11" width="7.375" style="3" customWidth="1"/>
    <col min="12" max="13" width="7.375" style="12" customWidth="1"/>
    <col min="14" max="16384" width="9.06730769230769" style="12"/>
  </cols>
  <sheetData>
    <row r="1" spans="1:13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ht="19" customHeight="1" spans="1:13">
      <c r="A3" s="65" t="s">
        <v>1</v>
      </c>
      <c r="B3" s="65" t="s">
        <v>2</v>
      </c>
      <c r="C3" s="65" t="s">
        <v>3</v>
      </c>
      <c r="D3" s="66" t="s">
        <v>4</v>
      </c>
      <c r="E3" s="65" t="s">
        <v>5</v>
      </c>
      <c r="F3" s="67" t="s">
        <v>6</v>
      </c>
      <c r="G3" s="68"/>
      <c r="H3" s="69"/>
      <c r="I3" s="65" t="s">
        <v>7</v>
      </c>
      <c r="J3" s="66" t="s">
        <v>8</v>
      </c>
      <c r="K3" s="70" t="s">
        <v>9</v>
      </c>
      <c r="L3" s="71"/>
      <c r="M3" s="72"/>
    </row>
    <row r="4" ht="19" customHeight="1" spans="1:13">
      <c r="A4" s="73"/>
      <c r="B4" s="73"/>
      <c r="C4" s="73"/>
      <c r="D4" s="74"/>
      <c r="E4" s="73"/>
      <c r="F4" s="75" t="s">
        <v>10</v>
      </c>
      <c r="G4" s="76" t="s">
        <v>11</v>
      </c>
      <c r="H4" s="76" t="s">
        <v>12</v>
      </c>
      <c r="I4" s="73"/>
      <c r="J4" s="74"/>
      <c r="K4" s="77"/>
      <c r="L4" s="78"/>
      <c r="M4" s="79"/>
    </row>
    <row r="5" ht="25" customHeight="1" spans="1:13">
      <c r="A5" s="88">
        <v>46121</v>
      </c>
      <c r="B5" s="10">
        <v>1</v>
      </c>
      <c r="C5" s="32" t="s">
        <v>13</v>
      </c>
      <c r="D5" s="32" t="s">
        <v>14</v>
      </c>
      <c r="E5" s="10" t="s">
        <v>15</v>
      </c>
      <c r="F5" s="34"/>
      <c r="G5" s="34">
        <v>66.9</v>
      </c>
      <c r="H5" s="34">
        <f>SUM(F5:G5)</f>
        <v>66.9</v>
      </c>
      <c r="I5" s="10"/>
      <c r="J5" s="37" t="s">
        <v>16</v>
      </c>
      <c r="K5" s="10"/>
      <c r="L5" s="35"/>
      <c r="M5" s="35"/>
    </row>
    <row r="6" ht="25" customHeight="1" spans="1:13">
      <c r="A6" s="88">
        <v>46121</v>
      </c>
      <c r="B6" s="10">
        <v>2</v>
      </c>
      <c r="C6" s="32" t="s">
        <v>17</v>
      </c>
      <c r="D6" s="32" t="s">
        <v>18</v>
      </c>
      <c r="E6" s="10" t="s">
        <v>19</v>
      </c>
      <c r="F6" s="34">
        <v>1245</v>
      </c>
      <c r="G6" s="34"/>
      <c r="H6" s="34">
        <f>SUM(F6:G6)</f>
        <v>1245</v>
      </c>
      <c r="I6" s="10"/>
      <c r="J6" s="37"/>
      <c r="K6" s="10"/>
      <c r="L6" s="35"/>
      <c r="M6" s="35"/>
    </row>
    <row r="7" ht="25" customHeight="1" spans="1:13">
      <c r="A7" s="88">
        <v>46121</v>
      </c>
      <c r="B7" s="10">
        <v>3</v>
      </c>
      <c r="C7" s="32" t="s">
        <v>13</v>
      </c>
      <c r="D7" s="32" t="s">
        <v>20</v>
      </c>
      <c r="E7" s="10" t="s">
        <v>21</v>
      </c>
      <c r="F7" s="34"/>
      <c r="G7" s="34">
        <v>63.11</v>
      </c>
      <c r="H7" s="34">
        <f>SUM(F7:G7)</f>
        <v>63.11</v>
      </c>
      <c r="I7" s="10"/>
      <c r="J7" s="37" t="s">
        <v>22</v>
      </c>
      <c r="K7" s="10"/>
      <c r="L7" s="35"/>
      <c r="M7" s="35"/>
    </row>
    <row r="8" ht="25" customHeight="1" spans="1:13">
      <c r="A8" s="88">
        <v>46121</v>
      </c>
      <c r="B8" s="10">
        <v>4</v>
      </c>
      <c r="C8" s="32" t="s">
        <v>23</v>
      </c>
      <c r="D8" s="32" t="s">
        <v>24</v>
      </c>
      <c r="E8" s="10" t="s">
        <v>25</v>
      </c>
      <c r="F8" s="34">
        <v>729</v>
      </c>
      <c r="G8" s="34"/>
      <c r="H8" s="34">
        <f>SUM(F8:G8)</f>
        <v>729</v>
      </c>
      <c r="I8" s="10">
        <f>H8/4</f>
        <v>182.25</v>
      </c>
      <c r="J8" s="37"/>
      <c r="K8" s="10"/>
      <c r="L8" s="35"/>
      <c r="M8" s="35"/>
    </row>
    <row r="9" ht="25" customHeight="1" spans="1:13">
      <c r="A9" s="88">
        <v>46121</v>
      </c>
      <c r="B9" s="10">
        <v>5</v>
      </c>
      <c r="C9" s="32" t="s">
        <v>13</v>
      </c>
      <c r="D9" s="32" t="s">
        <v>20</v>
      </c>
      <c r="E9" s="10" t="s">
        <v>26</v>
      </c>
      <c r="F9" s="34"/>
      <c r="G9" s="34">
        <v>19.1</v>
      </c>
      <c r="H9" s="34">
        <f t="shared" ref="H9:H17" si="0">SUM(F9:G9)</f>
        <v>19.1</v>
      </c>
      <c r="I9" s="10"/>
      <c r="J9" s="37"/>
      <c r="K9" s="10"/>
      <c r="L9" s="35"/>
      <c r="M9" s="35"/>
    </row>
    <row r="10" ht="25" customHeight="1" spans="1:13">
      <c r="A10" s="88">
        <v>46123</v>
      </c>
      <c r="B10" s="10">
        <v>6</v>
      </c>
      <c r="C10" s="32" t="s">
        <v>13</v>
      </c>
      <c r="D10" s="32" t="s">
        <v>20</v>
      </c>
      <c r="E10" s="10" t="s">
        <v>27</v>
      </c>
      <c r="F10" s="34"/>
      <c r="G10" s="34">
        <v>20.9</v>
      </c>
      <c r="H10" s="34">
        <f t="shared" si="0"/>
        <v>20.9</v>
      </c>
      <c r="I10" s="10" t="s">
        <v>28</v>
      </c>
      <c r="J10" s="37"/>
      <c r="K10" s="10"/>
      <c r="L10" s="35"/>
      <c r="M10" s="35"/>
    </row>
    <row r="11" ht="25" customHeight="1" spans="1:13">
      <c r="A11" s="88">
        <v>46123</v>
      </c>
      <c r="B11" s="10">
        <v>7</v>
      </c>
      <c r="C11" s="32" t="s">
        <v>13</v>
      </c>
      <c r="D11" s="32" t="s">
        <v>20</v>
      </c>
      <c r="E11" s="10" t="s">
        <v>26</v>
      </c>
      <c r="F11" s="34"/>
      <c r="G11" s="34">
        <v>18.7</v>
      </c>
      <c r="H11" s="34">
        <f t="shared" si="0"/>
        <v>18.7</v>
      </c>
      <c r="I11" s="10" t="s">
        <v>28</v>
      </c>
      <c r="J11" s="37"/>
      <c r="K11" s="10"/>
      <c r="L11" s="35"/>
      <c r="M11" s="35"/>
    </row>
    <row r="12" ht="25" customHeight="1" spans="1:13">
      <c r="A12" s="88">
        <v>46124</v>
      </c>
      <c r="B12" s="10">
        <v>8</v>
      </c>
      <c r="C12" s="32" t="s">
        <v>13</v>
      </c>
      <c r="D12" s="32" t="s">
        <v>20</v>
      </c>
      <c r="E12" s="10" t="s">
        <v>27</v>
      </c>
      <c r="F12" s="34"/>
      <c r="G12" s="34">
        <v>13.7</v>
      </c>
      <c r="H12" s="34">
        <f t="shared" si="0"/>
        <v>13.7</v>
      </c>
      <c r="I12" s="10" t="s">
        <v>28</v>
      </c>
      <c r="J12" s="37"/>
      <c r="K12" s="10"/>
      <c r="L12" s="35"/>
      <c r="M12" s="35"/>
    </row>
    <row r="13" ht="25" customHeight="1" spans="1:13">
      <c r="A13" s="88">
        <v>46125</v>
      </c>
      <c r="B13" s="10">
        <v>9</v>
      </c>
      <c r="C13" s="32" t="s">
        <v>13</v>
      </c>
      <c r="D13" s="32" t="s">
        <v>20</v>
      </c>
      <c r="E13" s="10" t="s">
        <v>26</v>
      </c>
      <c r="F13" s="34"/>
      <c r="G13" s="34">
        <v>15.3</v>
      </c>
      <c r="H13" s="34">
        <f t="shared" si="0"/>
        <v>15.3</v>
      </c>
      <c r="I13" s="10"/>
      <c r="J13" s="37"/>
      <c r="K13" s="10"/>
      <c r="L13" s="35"/>
      <c r="M13" s="35"/>
    </row>
    <row r="14" ht="25" customHeight="1" spans="1:13">
      <c r="A14" s="88">
        <v>46126</v>
      </c>
      <c r="B14" s="10">
        <v>10</v>
      </c>
      <c r="C14" s="32" t="s">
        <v>13</v>
      </c>
      <c r="D14" s="32" t="s">
        <v>20</v>
      </c>
      <c r="E14" s="10" t="s">
        <v>29</v>
      </c>
      <c r="F14" s="34"/>
      <c r="G14" s="34">
        <v>18.6</v>
      </c>
      <c r="H14" s="34">
        <f t="shared" si="0"/>
        <v>18.6</v>
      </c>
      <c r="I14" s="10"/>
      <c r="J14" s="37"/>
      <c r="K14" s="10"/>
      <c r="L14" s="35"/>
      <c r="M14" s="35"/>
    </row>
    <row r="15" ht="25" customHeight="1" spans="1:13">
      <c r="A15" s="88">
        <v>46126</v>
      </c>
      <c r="B15" s="10">
        <v>11</v>
      </c>
      <c r="C15" s="32" t="s">
        <v>13</v>
      </c>
      <c r="D15" s="32" t="s">
        <v>20</v>
      </c>
      <c r="E15" s="86" t="s">
        <v>30</v>
      </c>
      <c r="F15" s="34"/>
      <c r="G15" s="34">
        <v>19.4</v>
      </c>
      <c r="H15" s="34">
        <f t="shared" si="0"/>
        <v>19.4</v>
      </c>
      <c r="I15" s="10"/>
      <c r="J15" s="37" t="s">
        <v>31</v>
      </c>
      <c r="K15" s="10"/>
      <c r="L15" s="35"/>
      <c r="M15" s="35"/>
    </row>
    <row r="16" ht="25" customHeight="1" spans="1:13">
      <c r="A16" s="88">
        <v>46127</v>
      </c>
      <c r="B16" s="10">
        <v>12</v>
      </c>
      <c r="C16" s="32" t="s">
        <v>13</v>
      </c>
      <c r="D16" s="32" t="s">
        <v>32</v>
      </c>
      <c r="E16" s="86" t="s">
        <v>33</v>
      </c>
      <c r="F16" s="34"/>
      <c r="G16" s="34">
        <v>14.2</v>
      </c>
      <c r="H16" s="34">
        <f t="shared" ref="H16:H27" si="1">SUM(F16:G16)</f>
        <v>14.2</v>
      </c>
      <c r="I16" s="10"/>
      <c r="J16" s="37"/>
      <c r="K16" s="10"/>
      <c r="L16" s="35"/>
      <c r="M16" s="35"/>
    </row>
    <row r="17" ht="25" customHeight="1" spans="1:13">
      <c r="A17" s="88">
        <v>46128</v>
      </c>
      <c r="B17" s="10">
        <v>13</v>
      </c>
      <c r="C17" s="32" t="s">
        <v>13</v>
      </c>
      <c r="D17" s="32" t="s">
        <v>20</v>
      </c>
      <c r="E17" s="86" t="s">
        <v>34</v>
      </c>
      <c r="F17" s="34"/>
      <c r="G17" s="34">
        <v>15.4</v>
      </c>
      <c r="H17" s="34">
        <f t="shared" si="1"/>
        <v>15.4</v>
      </c>
      <c r="I17" s="10"/>
      <c r="J17" s="37"/>
      <c r="K17" s="10"/>
      <c r="L17" s="35"/>
      <c r="M17" s="35"/>
    </row>
    <row r="18" ht="25" customHeight="1" spans="1:13">
      <c r="A18" s="88">
        <v>46128</v>
      </c>
      <c r="B18" s="10">
        <v>14</v>
      </c>
      <c r="C18" s="32" t="s">
        <v>13</v>
      </c>
      <c r="D18" s="32" t="s">
        <v>20</v>
      </c>
      <c r="E18" s="86" t="s">
        <v>35</v>
      </c>
      <c r="F18" s="34"/>
      <c r="G18" s="34">
        <v>30.2</v>
      </c>
      <c r="H18" s="34">
        <f t="shared" si="1"/>
        <v>30.2</v>
      </c>
      <c r="I18" s="10"/>
      <c r="J18" s="37"/>
      <c r="K18" s="10"/>
      <c r="L18" s="35"/>
      <c r="M18" s="35"/>
    </row>
    <row r="19" ht="25" customHeight="1" spans="1:13">
      <c r="A19" s="88">
        <v>46128</v>
      </c>
      <c r="B19" s="10">
        <v>15</v>
      </c>
      <c r="C19" s="32" t="s">
        <v>13</v>
      </c>
      <c r="D19" s="32" t="s">
        <v>20</v>
      </c>
      <c r="E19" s="86" t="s">
        <v>36</v>
      </c>
      <c r="F19" s="34"/>
      <c r="G19" s="34">
        <v>14.9</v>
      </c>
      <c r="H19" s="34">
        <f t="shared" si="1"/>
        <v>14.9</v>
      </c>
      <c r="I19" s="10"/>
      <c r="J19" s="37"/>
      <c r="K19" s="10"/>
      <c r="L19" s="35"/>
      <c r="M19" s="35"/>
    </row>
    <row r="20" ht="25" customHeight="1" spans="1:13">
      <c r="A20" s="88">
        <v>46129</v>
      </c>
      <c r="B20" s="10">
        <v>16</v>
      </c>
      <c r="C20" s="32" t="s">
        <v>13</v>
      </c>
      <c r="D20" s="32" t="s">
        <v>20</v>
      </c>
      <c r="E20" s="86" t="s">
        <v>37</v>
      </c>
      <c r="F20" s="34"/>
      <c r="G20" s="34">
        <v>14.3</v>
      </c>
      <c r="H20" s="34">
        <f t="shared" si="1"/>
        <v>14.3</v>
      </c>
      <c r="I20" s="10"/>
      <c r="J20" s="37"/>
      <c r="K20" s="10"/>
      <c r="L20" s="35"/>
      <c r="M20" s="35"/>
    </row>
    <row r="21" ht="25" customHeight="1" spans="1:13">
      <c r="A21" s="39">
        <v>46130</v>
      </c>
      <c r="B21" s="10">
        <v>17</v>
      </c>
      <c r="C21" s="32" t="s">
        <v>13</v>
      </c>
      <c r="D21" s="32" t="s">
        <v>20</v>
      </c>
      <c r="E21" s="86" t="s">
        <v>34</v>
      </c>
      <c r="F21" s="34"/>
      <c r="G21" s="34">
        <v>12.7</v>
      </c>
      <c r="H21" s="34">
        <f t="shared" si="1"/>
        <v>12.7</v>
      </c>
      <c r="I21" s="10"/>
      <c r="J21" s="37"/>
      <c r="K21" s="10"/>
      <c r="L21" s="35"/>
      <c r="M21" s="35"/>
    </row>
    <row r="22" ht="25" customHeight="1" spans="1:13">
      <c r="A22" s="39">
        <v>46131</v>
      </c>
      <c r="B22" s="10">
        <v>18</v>
      </c>
      <c r="C22" s="32" t="s">
        <v>13</v>
      </c>
      <c r="D22" s="32" t="s">
        <v>20</v>
      </c>
      <c r="E22" s="86" t="s">
        <v>38</v>
      </c>
      <c r="F22" s="34"/>
      <c r="G22" s="34">
        <v>18.7</v>
      </c>
      <c r="H22" s="34">
        <f t="shared" si="1"/>
        <v>18.7</v>
      </c>
      <c r="I22" s="10"/>
      <c r="J22" s="37"/>
      <c r="K22" s="10"/>
      <c r="L22" s="35"/>
      <c r="M22" s="35"/>
    </row>
    <row r="23" ht="25" customHeight="1" spans="1:13">
      <c r="A23" s="39">
        <v>46131</v>
      </c>
      <c r="B23" s="10">
        <v>19</v>
      </c>
      <c r="C23" s="32" t="s">
        <v>13</v>
      </c>
      <c r="D23" s="32" t="s">
        <v>20</v>
      </c>
      <c r="E23" s="86" t="s">
        <v>34</v>
      </c>
      <c r="F23" s="34"/>
      <c r="G23" s="34">
        <v>14.3</v>
      </c>
      <c r="H23" s="34">
        <f t="shared" si="1"/>
        <v>14.3</v>
      </c>
      <c r="I23" s="10"/>
      <c r="J23" s="37"/>
      <c r="K23" s="10"/>
      <c r="L23" s="35"/>
      <c r="M23" s="35"/>
    </row>
    <row r="24" ht="25" customHeight="1" spans="1:13">
      <c r="A24" s="39">
        <v>46132</v>
      </c>
      <c r="B24" s="10">
        <v>20</v>
      </c>
      <c r="C24" s="32" t="s">
        <v>13</v>
      </c>
      <c r="D24" s="32" t="s">
        <v>20</v>
      </c>
      <c r="E24" s="86" t="s">
        <v>38</v>
      </c>
      <c r="F24" s="34"/>
      <c r="G24" s="34">
        <v>16.9</v>
      </c>
      <c r="H24" s="34">
        <f t="shared" si="1"/>
        <v>16.9</v>
      </c>
      <c r="I24" s="10"/>
      <c r="J24" s="37"/>
      <c r="K24" s="10"/>
      <c r="L24" s="35"/>
      <c r="M24" s="35"/>
    </row>
    <row r="25" ht="25" customHeight="1" spans="1:13">
      <c r="A25" s="39">
        <v>46132</v>
      </c>
      <c r="B25" s="10">
        <v>21</v>
      </c>
      <c r="C25" s="32" t="s">
        <v>13</v>
      </c>
      <c r="D25" s="32" t="s">
        <v>20</v>
      </c>
      <c r="E25" s="86" t="s">
        <v>34</v>
      </c>
      <c r="F25" s="34"/>
      <c r="G25" s="34">
        <v>15.9</v>
      </c>
      <c r="H25" s="34">
        <f t="shared" si="1"/>
        <v>15.9</v>
      </c>
      <c r="I25" s="10"/>
      <c r="J25" s="37"/>
      <c r="K25" s="10"/>
      <c r="L25" s="35"/>
      <c r="M25" s="35"/>
    </row>
    <row r="26" ht="25" customHeight="1" spans="1:13">
      <c r="A26" s="39">
        <v>46133</v>
      </c>
      <c r="B26" s="10">
        <v>22</v>
      </c>
      <c r="C26" s="32" t="s">
        <v>13</v>
      </c>
      <c r="D26" s="32" t="s">
        <v>32</v>
      </c>
      <c r="E26" s="86" t="s">
        <v>39</v>
      </c>
      <c r="F26" s="34"/>
      <c r="G26" s="34">
        <v>15.9</v>
      </c>
      <c r="H26" s="34">
        <f t="shared" si="1"/>
        <v>15.9</v>
      </c>
      <c r="I26" s="10"/>
      <c r="J26" s="37"/>
      <c r="K26" s="10"/>
      <c r="L26" s="35"/>
      <c r="M26" s="35"/>
    </row>
    <row r="27" ht="25" customHeight="1" spans="1:13">
      <c r="A27" s="39">
        <v>46134</v>
      </c>
      <c r="B27" s="10">
        <v>23</v>
      </c>
      <c r="C27" s="32" t="s">
        <v>13</v>
      </c>
      <c r="D27" s="32" t="s">
        <v>32</v>
      </c>
      <c r="E27" s="86" t="s">
        <v>40</v>
      </c>
      <c r="F27" s="34"/>
      <c r="G27" s="34">
        <v>26.9</v>
      </c>
      <c r="H27" s="34">
        <f t="shared" si="1"/>
        <v>26.9</v>
      </c>
      <c r="I27" s="10"/>
      <c r="J27" s="37"/>
      <c r="K27" s="10"/>
      <c r="L27" s="35"/>
      <c r="M27" s="35"/>
    </row>
    <row r="28" ht="25" customHeight="1" spans="1:13">
      <c r="A28" s="39">
        <v>46137</v>
      </c>
      <c r="B28" s="10">
        <v>24</v>
      </c>
      <c r="C28" s="32" t="s">
        <v>17</v>
      </c>
      <c r="D28" s="32" t="s">
        <v>41</v>
      </c>
      <c r="E28" s="86" t="s">
        <v>42</v>
      </c>
      <c r="F28" s="34">
        <v>1050</v>
      </c>
      <c r="G28" s="34"/>
      <c r="H28" s="34">
        <f t="shared" ref="H28:H34" si="2">SUM(F28:G28)</f>
        <v>1050</v>
      </c>
      <c r="I28" s="10"/>
      <c r="J28" s="37"/>
      <c r="K28" s="10"/>
      <c r="L28" s="35"/>
      <c r="M28" s="35"/>
    </row>
    <row r="29" ht="25" customHeight="1" spans="1:13">
      <c r="A29" s="39">
        <v>46137</v>
      </c>
      <c r="B29" s="10">
        <v>25</v>
      </c>
      <c r="C29" s="32" t="s">
        <v>13</v>
      </c>
      <c r="D29" s="32" t="s">
        <v>14</v>
      </c>
      <c r="E29" s="86" t="s">
        <v>43</v>
      </c>
      <c r="F29" s="34"/>
      <c r="G29" s="34">
        <v>49.9</v>
      </c>
      <c r="H29" s="34">
        <f t="shared" si="2"/>
        <v>49.9</v>
      </c>
      <c r="I29" s="10"/>
      <c r="J29" s="37" t="s">
        <v>44</v>
      </c>
      <c r="K29" s="10"/>
      <c r="L29" s="35"/>
      <c r="M29" s="35"/>
    </row>
    <row r="30" ht="25" customHeight="1" spans="1:13">
      <c r="A30" s="39" t="s">
        <v>28</v>
      </c>
      <c r="B30" s="10">
        <v>26</v>
      </c>
      <c r="C30" s="32" t="s">
        <v>23</v>
      </c>
      <c r="D30" s="32" t="s">
        <v>45</v>
      </c>
      <c r="E30" s="86" t="s">
        <v>46</v>
      </c>
      <c r="F30" s="34">
        <v>1277</v>
      </c>
      <c r="G30" s="34"/>
      <c r="H30" s="34">
        <f t="shared" si="2"/>
        <v>1277</v>
      </c>
      <c r="I30" s="10"/>
      <c r="J30" s="37" t="s">
        <v>47</v>
      </c>
      <c r="K30" s="10"/>
      <c r="L30" s="35"/>
      <c r="M30" s="35"/>
    </row>
    <row r="31" ht="25" customHeight="1" spans="1:13">
      <c r="A31" s="39"/>
      <c r="B31" s="10">
        <v>27</v>
      </c>
      <c r="C31" s="32" t="s">
        <v>23</v>
      </c>
      <c r="D31" s="32" t="s">
        <v>45</v>
      </c>
      <c r="E31" s="86" t="s">
        <v>48</v>
      </c>
      <c r="F31" s="34">
        <v>420.24</v>
      </c>
      <c r="G31" s="34"/>
      <c r="H31" s="34">
        <f t="shared" si="2"/>
        <v>420.24</v>
      </c>
      <c r="I31" s="10"/>
      <c r="J31" s="37" t="s">
        <v>49</v>
      </c>
      <c r="K31" s="10"/>
      <c r="L31" s="35"/>
      <c r="M31" s="35"/>
    </row>
    <row r="32" ht="25" customHeight="1" spans="1:13">
      <c r="A32" s="39">
        <v>46136</v>
      </c>
      <c r="B32" s="10">
        <v>28</v>
      </c>
      <c r="C32" s="32" t="s">
        <v>23</v>
      </c>
      <c r="D32" s="32" t="s">
        <v>45</v>
      </c>
      <c r="E32" s="86" t="s">
        <v>50</v>
      </c>
      <c r="F32" s="34">
        <v>201</v>
      </c>
      <c r="G32" s="34"/>
      <c r="H32" s="34">
        <f t="shared" si="2"/>
        <v>201</v>
      </c>
      <c r="I32" s="10"/>
      <c r="J32" s="37"/>
      <c r="K32" s="10"/>
      <c r="L32" s="35"/>
      <c r="M32" s="35"/>
    </row>
    <row r="33" ht="25" customHeight="1" spans="1:13">
      <c r="A33" s="39" t="s">
        <v>28</v>
      </c>
      <c r="B33" s="10">
        <v>29</v>
      </c>
      <c r="C33" s="32" t="s">
        <v>51</v>
      </c>
      <c r="D33" s="32" t="s">
        <v>52</v>
      </c>
      <c r="E33" s="86" t="s">
        <v>53</v>
      </c>
      <c r="F33" s="34"/>
      <c r="G33" s="34">
        <f>50*17</f>
        <v>850</v>
      </c>
      <c r="H33" s="34">
        <f t="shared" si="2"/>
        <v>850</v>
      </c>
      <c r="I33" s="10"/>
      <c r="J33" s="37"/>
      <c r="K33" s="10"/>
      <c r="L33" s="35"/>
      <c r="M33" s="35"/>
    </row>
    <row r="34" ht="25" customHeight="1" spans="1:13">
      <c r="A34" s="39"/>
      <c r="B34" s="10">
        <v>30</v>
      </c>
      <c r="C34" s="32" t="s">
        <v>54</v>
      </c>
      <c r="D34" s="32" t="s">
        <v>55</v>
      </c>
      <c r="E34" s="86" t="s">
        <v>53</v>
      </c>
      <c r="F34" s="34"/>
      <c r="G34" s="34">
        <f>150*17</f>
        <v>2550</v>
      </c>
      <c r="H34" s="34">
        <f t="shared" si="2"/>
        <v>2550</v>
      </c>
      <c r="I34" s="10"/>
      <c r="J34" s="37"/>
      <c r="K34" s="10"/>
      <c r="L34" s="35"/>
      <c r="M34" s="35"/>
    </row>
    <row r="35" ht="19" customHeight="1" spans="1:13">
      <c r="A35" s="75" t="s">
        <v>56</v>
      </c>
      <c r="B35" s="75"/>
      <c r="C35" s="75"/>
      <c r="D35" s="75"/>
      <c r="E35" s="75"/>
      <c r="F35" s="81">
        <f>SUM(F5:F34)</f>
        <v>4922.24</v>
      </c>
      <c r="G35" s="81">
        <f>SUM(G5:G34)</f>
        <v>3915.91</v>
      </c>
      <c r="H35" s="82">
        <f>SUM(H5:H34)</f>
        <v>8838.15</v>
      </c>
      <c r="I35" s="75"/>
      <c r="J35" s="83"/>
      <c r="K35" s="84"/>
      <c r="L35" s="85"/>
      <c r="M35" s="85"/>
    </row>
    <row r="36" spans="1:13">
      <c r="A36" s="48"/>
      <c r="B36" s="49"/>
      <c r="C36" s="49"/>
      <c r="D36" s="49"/>
      <c r="E36" s="49"/>
      <c r="F36" s="49"/>
      <c r="G36" s="50"/>
      <c r="H36" s="50"/>
      <c r="I36" s="49"/>
      <c r="J36" s="51"/>
      <c r="K36" s="49"/>
      <c r="L36" s="49"/>
      <c r="M36" s="49"/>
    </row>
    <row r="37" spans="1:13">
      <c r="A37" s="53" t="s">
        <v>57</v>
      </c>
      <c r="B37" s="32" t="s">
        <v>23</v>
      </c>
      <c r="C37" s="89">
        <f>SUMIF($C$5:C34,B37,$G$5:G34)</f>
        <v>0</v>
      </c>
      <c r="E37" s="10" t="s">
        <v>3</v>
      </c>
      <c r="F37" s="10" t="s">
        <v>6</v>
      </c>
      <c r="G37" s="55" t="s">
        <v>58</v>
      </c>
      <c r="I37" s="50" t="s">
        <v>59</v>
      </c>
      <c r="J37" s="50"/>
    </row>
    <row r="38" spans="1:13">
      <c r="A38" s="56"/>
      <c r="B38" s="32" t="s">
        <v>17</v>
      </c>
      <c r="C38" s="89">
        <f>SUMIF($C$5:C34,B38,$G$5:G34)</f>
        <v>0</v>
      </c>
      <c r="D38" s="57"/>
      <c r="E38" s="10" t="s">
        <v>60</v>
      </c>
      <c r="F38" s="90">
        <v>0</v>
      </c>
      <c r="G38" s="90">
        <f t="shared" ref="G38:G43" si="3">F38</f>
        <v>0</v>
      </c>
      <c r="I38" s="50"/>
      <c r="J38" s="50"/>
    </row>
    <row r="39" spans="1:13">
      <c r="A39" s="56"/>
      <c r="B39" s="32" t="s">
        <v>13</v>
      </c>
      <c r="C39" s="89">
        <f>SUMIF($C$5:C34,B39,$G$5:G34)</f>
        <v>515.91</v>
      </c>
      <c r="D39" s="57"/>
      <c r="E39" s="10" t="s">
        <v>61</v>
      </c>
      <c r="F39" s="90">
        <f>$F$35</f>
        <v>4922.24</v>
      </c>
      <c r="G39" s="90">
        <f>F39+F40</f>
        <v>4922.24</v>
      </c>
      <c r="I39" s="50"/>
      <c r="J39" s="50"/>
    </row>
    <row r="40" spans="1:13">
      <c r="A40" s="56"/>
      <c r="B40" s="32" t="s">
        <v>62</v>
      </c>
      <c r="C40" s="89">
        <f>SUMIF($C$5:C34,B40,$G$5:G34)</f>
        <v>0</v>
      </c>
      <c r="D40" s="57"/>
      <c r="E40" s="10" t="s">
        <v>63</v>
      </c>
      <c r="F40" s="90">
        <v>0</v>
      </c>
      <c r="G40" s="90"/>
    </row>
    <row r="41" spans="1:13">
      <c r="A41" s="56"/>
      <c r="B41" s="32" t="s">
        <v>51</v>
      </c>
      <c r="C41" s="89">
        <f>SUMIF($C$5:C34,B41,$G$5:G34)</f>
        <v>850</v>
      </c>
      <c r="D41" s="57"/>
      <c r="E41" s="10" t="s">
        <v>64</v>
      </c>
      <c r="F41" s="90">
        <f>$G$35</f>
        <v>3915.91</v>
      </c>
      <c r="G41" s="90">
        <f t="shared" si="3"/>
        <v>3915.91</v>
      </c>
    </row>
    <row r="42" spans="1:13">
      <c r="A42" s="56"/>
      <c r="B42" s="32" t="s">
        <v>54</v>
      </c>
      <c r="C42" s="89">
        <f>SUMIF($C$5:C34,B42,$G$5:G34)</f>
        <v>2550</v>
      </c>
      <c r="D42" s="57"/>
      <c r="E42" s="10" t="s">
        <v>65</v>
      </c>
      <c r="F42" s="90">
        <v>0</v>
      </c>
      <c r="G42" s="90">
        <v>0</v>
      </c>
    </row>
    <row r="43" spans="1:13">
      <c r="A43" s="60"/>
      <c r="B43" s="6" t="s">
        <v>56</v>
      </c>
      <c r="C43" s="91">
        <f>SUM(C37:C42)</f>
        <v>3915.91</v>
      </c>
      <c r="D43" s="57"/>
      <c r="E43" s="10" t="s">
        <v>66</v>
      </c>
      <c r="F43" s="90">
        <f>G35-F38</f>
        <v>3915.91</v>
      </c>
      <c r="G43" s="90">
        <f t="shared" si="3"/>
        <v>3915.91</v>
      </c>
    </row>
    <row r="44" spans="1:13">
      <c r="D44" s="3"/>
    </row>
    <row r="45" spans="1:13">
      <c r="A45" s="61" t="s">
        <v>58</v>
      </c>
      <c r="B45" s="32" t="s">
        <v>23</v>
      </c>
      <c r="C45" s="92">
        <f t="shared" ref="C45:C50" si="4">SUMIF($C$5:$C$34,B45,$H$5:$H$34)</f>
        <v>2627.24</v>
      </c>
    </row>
    <row r="46" spans="1:13">
      <c r="A46" s="62"/>
      <c r="B46" s="32" t="s">
        <v>17</v>
      </c>
      <c r="C46" s="92">
        <f t="shared" si="4"/>
        <v>2295</v>
      </c>
    </row>
    <row r="47" spans="1:13">
      <c r="A47" s="62"/>
      <c r="B47" s="32" t="s">
        <v>13</v>
      </c>
      <c r="C47" s="92">
        <f t="shared" si="4"/>
        <v>515.91</v>
      </c>
    </row>
    <row r="48" spans="1:13">
      <c r="A48" s="62"/>
      <c r="B48" s="32" t="s">
        <v>62</v>
      </c>
      <c r="C48" s="92">
        <f t="shared" si="4"/>
        <v>0</v>
      </c>
    </row>
    <row r="49" spans="1:3">
      <c r="A49" s="62"/>
      <c r="B49" s="32" t="s">
        <v>51</v>
      </c>
      <c r="C49" s="92">
        <f t="shared" si="4"/>
        <v>850</v>
      </c>
    </row>
    <row r="50" spans="1:3">
      <c r="A50" s="62"/>
      <c r="B50" s="32" t="s">
        <v>54</v>
      </c>
      <c r="C50" s="92">
        <f t="shared" si="4"/>
        <v>2550</v>
      </c>
    </row>
    <row r="51" spans="1:3">
      <c r="A51" s="63"/>
      <c r="B51" s="6" t="s">
        <v>56</v>
      </c>
      <c r="C51" s="91">
        <f>SUM(C45:C50)</f>
        <v>8838.15</v>
      </c>
    </row>
  </sheetData>
  <autoFilter xmlns:etc="http://www.wps.cn/officeDocument/2017/etCustomData" ref="A4:M35" etc:filterBottomFollowUsedRange="0">
    <extLst/>
  </autoFilter>
  <mergeCells count="15">
    <mergeCell ref="F3:H3"/>
    <mergeCell ref="A35:E35"/>
    <mergeCell ref="A3:A4"/>
    <mergeCell ref="A37:A43"/>
    <mergeCell ref="A45:A51"/>
    <mergeCell ref="B3:B4"/>
    <mergeCell ref="C3:C4"/>
    <mergeCell ref="D3:D4"/>
    <mergeCell ref="E3:E4"/>
    <mergeCell ref="G39:G40"/>
    <mergeCell ref="I3:I4"/>
    <mergeCell ref="J3:J4"/>
    <mergeCell ref="A1:M2"/>
    <mergeCell ref="K3:M4"/>
    <mergeCell ref="I37:J39"/>
  </mergeCells>
  <dataValidations count="1">
    <dataValidation type="list" allowBlank="1" showInputMessage="1" showErrorMessage="1" sqref="C5:C34">
      <formula1>$B$37:$B$42</formula1>
    </dataValidation>
  </dataValidations>
  <printOptions horizontalCentered="1"/>
  <pageMargins left="0.2" right="0.180555555555556" top="0.16875" bottom="0.207638888888889" header="0.16875" footer="0.16875"/>
  <pageSetup paperSize="9" scale="47" orientation="landscape" horizontalDpi="6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2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F16" sqref="F16"/>
    </sheetView>
  </sheetViews>
  <sheetFormatPr defaultColWidth="9" defaultRowHeight="16.8"/>
  <cols>
    <col min="1" max="1" width="13.0096153846154" style="12" customWidth="1"/>
    <col min="2" max="2" width="10.4615384615385" style="12" customWidth="1"/>
    <col min="3" max="3" width="15.6923076923077" style="12" customWidth="1"/>
    <col min="4" max="4" width="25.4711538461538" style="12" customWidth="1"/>
    <col min="5" max="5" width="18.7692307692308" style="12" customWidth="1"/>
    <col min="6" max="6" width="15.6923076923077" style="12" customWidth="1"/>
    <col min="7" max="8" width="15.6923076923077" style="13" customWidth="1"/>
    <col min="9" max="9" width="15.6923076923077" style="12" customWidth="1"/>
    <col min="10" max="10" width="71.2980769230769" style="14" customWidth="1"/>
    <col min="11" max="11" width="7.375" style="3" customWidth="1"/>
    <col min="12" max="13" width="7.375" style="12" customWidth="1"/>
    <col min="14" max="16384" width="9.06730769230769" style="12"/>
  </cols>
  <sheetData>
    <row r="1" spans="1:13">
      <c r="A1" s="64" t="s">
        <v>67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ht="19" customHeight="1" spans="1:13">
      <c r="A3" s="65" t="s">
        <v>1</v>
      </c>
      <c r="B3" s="65" t="s">
        <v>2</v>
      </c>
      <c r="C3" s="65" t="s">
        <v>3</v>
      </c>
      <c r="D3" s="66" t="s">
        <v>4</v>
      </c>
      <c r="E3" s="65" t="s">
        <v>5</v>
      </c>
      <c r="F3" s="67" t="s">
        <v>6</v>
      </c>
      <c r="G3" s="68"/>
      <c r="H3" s="69"/>
      <c r="I3" s="65" t="s">
        <v>7</v>
      </c>
      <c r="J3" s="66" t="s">
        <v>8</v>
      </c>
      <c r="K3" s="70" t="s">
        <v>9</v>
      </c>
      <c r="L3" s="71"/>
      <c r="M3" s="72"/>
    </row>
    <row r="4" ht="19" customHeight="1" spans="1:13">
      <c r="A4" s="73"/>
      <c r="B4" s="73"/>
      <c r="C4" s="73"/>
      <c r="D4" s="74"/>
      <c r="E4" s="73"/>
      <c r="F4" s="75" t="s">
        <v>10</v>
      </c>
      <c r="G4" s="76" t="s">
        <v>11</v>
      </c>
      <c r="H4" s="76" t="s">
        <v>12</v>
      </c>
      <c r="I4" s="73"/>
      <c r="J4" s="74"/>
      <c r="K4" s="77"/>
      <c r="L4" s="78"/>
      <c r="M4" s="79"/>
    </row>
    <row r="5" ht="20" customHeight="1" spans="1:13">
      <c r="A5" s="88">
        <v>46087</v>
      </c>
      <c r="B5" s="10">
        <v>1</v>
      </c>
      <c r="C5" s="32" t="s">
        <v>17</v>
      </c>
      <c r="D5" s="32" t="s">
        <v>18</v>
      </c>
      <c r="E5" s="10" t="s">
        <v>68</v>
      </c>
      <c r="F5" s="34">
        <v>680</v>
      </c>
      <c r="G5" s="34"/>
      <c r="H5" s="34">
        <f t="shared" ref="H5:H15" si="0">SUM(F5:G5)</f>
        <v>680</v>
      </c>
      <c r="I5" s="10"/>
      <c r="J5" s="37"/>
      <c r="K5" s="10"/>
      <c r="L5" s="35"/>
      <c r="M5" s="35"/>
    </row>
    <row r="6" ht="20" customHeight="1" spans="1:13">
      <c r="A6" s="88">
        <v>46087</v>
      </c>
      <c r="B6" s="10">
        <v>2</v>
      </c>
      <c r="C6" s="32" t="s">
        <v>13</v>
      </c>
      <c r="D6" s="32" t="s">
        <v>14</v>
      </c>
      <c r="E6" s="10" t="s">
        <v>15</v>
      </c>
      <c r="F6" s="34"/>
      <c r="G6" s="34">
        <v>110.7</v>
      </c>
      <c r="H6" s="34">
        <f t="shared" si="0"/>
        <v>110.7</v>
      </c>
      <c r="I6" s="10"/>
      <c r="J6" s="37" t="s">
        <v>69</v>
      </c>
      <c r="K6" s="10"/>
      <c r="L6" s="35"/>
      <c r="M6" s="35"/>
    </row>
    <row r="7" ht="20" customHeight="1" spans="1:13">
      <c r="A7" s="88">
        <v>46087</v>
      </c>
      <c r="B7" s="10">
        <v>3</v>
      </c>
      <c r="C7" s="32" t="s">
        <v>13</v>
      </c>
      <c r="D7" s="32" t="s">
        <v>70</v>
      </c>
      <c r="E7" s="10" t="s">
        <v>71</v>
      </c>
      <c r="F7" s="34"/>
      <c r="G7" s="34">
        <v>6</v>
      </c>
      <c r="H7" s="34">
        <f t="shared" si="0"/>
        <v>6</v>
      </c>
      <c r="I7" s="10"/>
      <c r="J7" s="37" t="s">
        <v>72</v>
      </c>
      <c r="K7" s="10"/>
      <c r="L7" s="35"/>
      <c r="M7" s="35"/>
    </row>
    <row r="8" ht="20" customHeight="1" spans="1:13">
      <c r="A8" s="88">
        <v>46091</v>
      </c>
      <c r="B8" s="10">
        <v>4</v>
      </c>
      <c r="C8" s="32" t="s">
        <v>13</v>
      </c>
      <c r="D8" s="32" t="s">
        <v>73</v>
      </c>
      <c r="E8" s="10" t="s">
        <v>74</v>
      </c>
      <c r="F8" s="34"/>
      <c r="G8" s="34">
        <v>17.9</v>
      </c>
      <c r="H8" s="34">
        <f t="shared" si="0"/>
        <v>17.9</v>
      </c>
      <c r="I8" s="10" t="s">
        <v>28</v>
      </c>
      <c r="J8" s="37"/>
      <c r="K8" s="10"/>
      <c r="L8" s="35"/>
      <c r="M8" s="35"/>
    </row>
    <row r="9" ht="20" customHeight="1" spans="1:13">
      <c r="A9" s="88">
        <v>46092</v>
      </c>
      <c r="B9" s="10">
        <v>5</v>
      </c>
      <c r="C9" s="32" t="s">
        <v>13</v>
      </c>
      <c r="D9" s="32" t="s">
        <v>73</v>
      </c>
      <c r="E9" s="10" t="s">
        <v>75</v>
      </c>
      <c r="F9" s="34"/>
      <c r="G9" s="34">
        <v>19.73</v>
      </c>
      <c r="H9" s="34">
        <f t="shared" si="0"/>
        <v>19.73</v>
      </c>
      <c r="I9" s="10" t="s">
        <v>28</v>
      </c>
      <c r="J9" s="37"/>
      <c r="K9" s="10"/>
      <c r="L9" s="35"/>
      <c r="M9" s="35"/>
    </row>
    <row r="10" ht="20" customHeight="1" spans="1:13">
      <c r="A10" s="88">
        <v>46093</v>
      </c>
      <c r="B10" s="10">
        <v>6</v>
      </c>
      <c r="C10" s="32" t="s">
        <v>13</v>
      </c>
      <c r="D10" s="32" t="s">
        <v>14</v>
      </c>
      <c r="E10" s="10" t="s">
        <v>43</v>
      </c>
      <c r="F10" s="34"/>
      <c r="G10" s="34">
        <v>115.5</v>
      </c>
      <c r="H10" s="34">
        <f t="shared" si="0"/>
        <v>115.5</v>
      </c>
      <c r="I10" s="10" t="s">
        <v>28</v>
      </c>
      <c r="J10" s="37" t="s">
        <v>76</v>
      </c>
      <c r="K10" s="10"/>
      <c r="L10" s="35"/>
      <c r="M10" s="35"/>
    </row>
    <row r="11" ht="20" customHeight="1" spans="1:13">
      <c r="A11" s="88">
        <v>46093</v>
      </c>
      <c r="B11" s="10">
        <v>7</v>
      </c>
      <c r="C11" s="32" t="s">
        <v>13</v>
      </c>
      <c r="D11" s="32" t="s">
        <v>73</v>
      </c>
      <c r="E11" s="10" t="s">
        <v>77</v>
      </c>
      <c r="F11" s="34"/>
      <c r="G11" s="34">
        <v>149.9</v>
      </c>
      <c r="H11" s="34">
        <f t="shared" si="0"/>
        <v>149.9</v>
      </c>
      <c r="I11" s="10"/>
      <c r="J11" s="37"/>
      <c r="K11" s="10"/>
      <c r="L11" s="35"/>
      <c r="M11" s="35"/>
    </row>
    <row r="12" ht="20" customHeight="1" spans="1:13">
      <c r="A12" s="88">
        <v>46093</v>
      </c>
      <c r="B12" s="10">
        <v>8</v>
      </c>
      <c r="C12" s="32" t="s">
        <v>17</v>
      </c>
      <c r="D12" s="32" t="s">
        <v>78</v>
      </c>
      <c r="E12" s="10" t="s">
        <v>79</v>
      </c>
      <c r="F12" s="34">
        <v>330</v>
      </c>
      <c r="G12" s="34"/>
      <c r="H12" s="34">
        <f t="shared" si="0"/>
        <v>330</v>
      </c>
      <c r="I12" s="10"/>
      <c r="J12" s="37"/>
      <c r="K12" s="10"/>
      <c r="L12" s="35"/>
      <c r="M12" s="35"/>
    </row>
    <row r="13" ht="20" customHeight="1" spans="1:13">
      <c r="A13" s="88" t="s">
        <v>28</v>
      </c>
      <c r="B13" s="10">
        <v>9</v>
      </c>
      <c r="C13" s="32" t="s">
        <v>23</v>
      </c>
      <c r="D13" s="32" t="s">
        <v>80</v>
      </c>
      <c r="E13" s="86" t="s">
        <v>81</v>
      </c>
      <c r="F13" s="34">
        <v>1647</v>
      </c>
      <c r="G13" s="34"/>
      <c r="H13" s="34">
        <f t="shared" si="0"/>
        <v>1647</v>
      </c>
      <c r="I13" s="10"/>
      <c r="J13" s="37"/>
      <c r="K13" s="10"/>
      <c r="L13" s="35"/>
      <c r="M13" s="35"/>
    </row>
    <row r="14" ht="20" customHeight="1" spans="1:13">
      <c r="A14" s="39" t="s">
        <v>28</v>
      </c>
      <c r="B14" s="10">
        <v>10</v>
      </c>
      <c r="C14" s="32" t="s">
        <v>51</v>
      </c>
      <c r="D14" s="32" t="s">
        <v>82</v>
      </c>
      <c r="E14" s="86" t="s">
        <v>83</v>
      </c>
      <c r="F14" s="34"/>
      <c r="G14" s="34">
        <f>60*7</f>
        <v>420</v>
      </c>
      <c r="H14" s="34">
        <f t="shared" si="0"/>
        <v>420</v>
      </c>
      <c r="I14" s="10"/>
      <c r="J14" s="37"/>
      <c r="K14" s="10"/>
      <c r="L14" s="35"/>
      <c r="M14" s="35"/>
    </row>
    <row r="15" ht="20" customHeight="1" spans="1:13">
      <c r="A15" s="39" t="s">
        <v>28</v>
      </c>
      <c r="B15" s="10">
        <v>11</v>
      </c>
      <c r="C15" s="32" t="s">
        <v>54</v>
      </c>
      <c r="D15" s="32" t="s">
        <v>84</v>
      </c>
      <c r="E15" s="10" t="s">
        <v>83</v>
      </c>
      <c r="F15" s="34"/>
      <c r="G15" s="34">
        <f>150*7</f>
        <v>1050</v>
      </c>
      <c r="H15" s="34">
        <f t="shared" si="0"/>
        <v>1050</v>
      </c>
      <c r="I15" s="10"/>
      <c r="J15" s="37"/>
      <c r="K15" s="10"/>
      <c r="L15" s="35"/>
      <c r="M15" s="35"/>
    </row>
    <row r="16" ht="19" customHeight="1" spans="1:13">
      <c r="A16" s="75" t="s">
        <v>56</v>
      </c>
      <c r="B16" s="75"/>
      <c r="C16" s="75"/>
      <c r="D16" s="75"/>
      <c r="E16" s="75"/>
      <c r="F16" s="81">
        <f>SUM(F5:F15)</f>
        <v>2657</v>
      </c>
      <c r="G16" s="81">
        <f>SUM(G5:G15)</f>
        <v>1889.73</v>
      </c>
      <c r="H16" s="82">
        <f>SUM(H5:H15)</f>
        <v>4546.73</v>
      </c>
      <c r="I16" s="75"/>
      <c r="J16" s="83"/>
      <c r="K16" s="84"/>
      <c r="L16" s="85"/>
      <c r="M16" s="85"/>
    </row>
    <row r="17" spans="1:13">
      <c r="A17" s="48"/>
      <c r="B17" s="49"/>
      <c r="C17" s="49"/>
      <c r="D17" s="49"/>
      <c r="E17" s="49"/>
      <c r="F17" s="49"/>
      <c r="G17" s="50"/>
      <c r="H17" s="50"/>
      <c r="I17" s="49"/>
      <c r="J17" s="51"/>
      <c r="K17" s="49"/>
      <c r="L17" s="49"/>
      <c r="M17" s="49"/>
    </row>
    <row r="18" spans="1:13">
      <c r="A18" s="53" t="s">
        <v>57</v>
      </c>
      <c r="B18" s="32" t="s">
        <v>23</v>
      </c>
      <c r="C18" s="89">
        <f>SUMIF($C$5:C15,B18,$G$5:G15)</f>
        <v>0</v>
      </c>
      <c r="E18" s="10" t="s">
        <v>3</v>
      </c>
      <c r="F18" s="10" t="s">
        <v>6</v>
      </c>
      <c r="G18" s="55" t="s">
        <v>58</v>
      </c>
      <c r="I18" s="50" t="s">
        <v>59</v>
      </c>
      <c r="J18" s="50"/>
    </row>
    <row r="19" spans="1:13">
      <c r="A19" s="56"/>
      <c r="B19" s="32" t="s">
        <v>17</v>
      </c>
      <c r="C19" s="89">
        <f>SUMIF($C$5:C15,B19,$G$5:G15)</f>
        <v>0</v>
      </c>
      <c r="D19" s="57"/>
      <c r="E19" s="10" t="s">
        <v>60</v>
      </c>
      <c r="F19" s="90">
        <v>0</v>
      </c>
      <c r="G19" s="90">
        <f t="shared" ref="G19:G24" si="1">F19</f>
        <v>0</v>
      </c>
      <c r="I19" s="50"/>
      <c r="J19" s="50"/>
    </row>
    <row r="20" spans="1:13">
      <c r="A20" s="56"/>
      <c r="B20" s="32" t="s">
        <v>13</v>
      </c>
      <c r="C20" s="89">
        <f>SUMIF($C$5:C15,B20,$G$5:G15)</f>
        <v>419.73</v>
      </c>
      <c r="D20" s="57"/>
      <c r="E20" s="10" t="s">
        <v>61</v>
      </c>
      <c r="F20" s="90">
        <f>$F$16</f>
        <v>2657</v>
      </c>
      <c r="G20" s="90">
        <f>F20+F21</f>
        <v>2657</v>
      </c>
      <c r="I20" s="50"/>
      <c r="J20" s="50"/>
    </row>
    <row r="21" spans="1:13">
      <c r="A21" s="56"/>
      <c r="B21" s="32" t="s">
        <v>62</v>
      </c>
      <c r="C21" s="89">
        <f>SUMIF($C$5:C15,B21,$G$5:G15)</f>
        <v>0</v>
      </c>
      <c r="D21" s="57"/>
      <c r="E21" s="10" t="s">
        <v>63</v>
      </c>
      <c r="F21" s="90">
        <v>0</v>
      </c>
      <c r="G21" s="90"/>
    </row>
    <row r="22" spans="1:13">
      <c r="A22" s="56"/>
      <c r="B22" s="32" t="s">
        <v>51</v>
      </c>
      <c r="C22" s="89">
        <f>SUMIF($C$5:C15,B22,$G$5:G15)</f>
        <v>420</v>
      </c>
      <c r="D22" s="57"/>
      <c r="E22" s="10" t="s">
        <v>64</v>
      </c>
      <c r="F22" s="90">
        <f>$G$16</f>
        <v>1889.73</v>
      </c>
      <c r="G22" s="90">
        <f t="shared" si="1"/>
        <v>1889.73</v>
      </c>
    </row>
    <row r="23" spans="1:13">
      <c r="A23" s="56"/>
      <c r="B23" s="32" t="s">
        <v>54</v>
      </c>
      <c r="C23" s="89">
        <f>SUMIF($C$5:C15,B23,$G$5:G15)</f>
        <v>1050</v>
      </c>
      <c r="D23" s="57"/>
      <c r="E23" s="10" t="s">
        <v>65</v>
      </c>
      <c r="F23" s="90">
        <v>0</v>
      </c>
      <c r="G23" s="90">
        <v>0</v>
      </c>
    </row>
    <row r="24" spans="1:13">
      <c r="A24" s="60"/>
      <c r="B24" s="6" t="s">
        <v>56</v>
      </c>
      <c r="C24" s="91">
        <f>SUM(C18:C23)</f>
        <v>1889.73</v>
      </c>
      <c r="D24" s="57"/>
      <c r="E24" s="10" t="s">
        <v>66</v>
      </c>
      <c r="F24" s="90">
        <f>G16-F19</f>
        <v>1889.73</v>
      </c>
      <c r="G24" s="90">
        <f t="shared" si="1"/>
        <v>1889.73</v>
      </c>
    </row>
    <row r="25" spans="1:13">
      <c r="D25" s="3"/>
    </row>
    <row r="26" spans="1:13">
      <c r="A26" s="61" t="s">
        <v>58</v>
      </c>
      <c r="B26" s="32" t="s">
        <v>23</v>
      </c>
      <c r="C26" s="92">
        <f t="shared" ref="C26:C31" si="2">SUMIF($C$5:$C$15,B26,$H$5:$H$15)</f>
        <v>1647</v>
      </c>
    </row>
    <row r="27" spans="1:13">
      <c r="A27" s="62"/>
      <c r="B27" s="32" t="s">
        <v>17</v>
      </c>
      <c r="C27" s="92">
        <f t="shared" si="2"/>
        <v>1010</v>
      </c>
    </row>
    <row r="28" spans="1:13">
      <c r="A28" s="62"/>
      <c r="B28" s="32" t="s">
        <v>13</v>
      </c>
      <c r="C28" s="92">
        <f t="shared" si="2"/>
        <v>419.73</v>
      </c>
    </row>
    <row r="29" spans="1:13">
      <c r="A29" s="62"/>
      <c r="B29" s="32" t="s">
        <v>62</v>
      </c>
      <c r="C29" s="92">
        <f t="shared" si="2"/>
        <v>0</v>
      </c>
    </row>
    <row r="30" spans="1:13">
      <c r="A30" s="62"/>
      <c r="B30" s="32" t="s">
        <v>51</v>
      </c>
      <c r="C30" s="92">
        <f t="shared" si="2"/>
        <v>420</v>
      </c>
    </row>
    <row r="31" spans="1:13">
      <c r="A31" s="62"/>
      <c r="B31" s="32" t="s">
        <v>54</v>
      </c>
      <c r="C31" s="92">
        <f t="shared" si="2"/>
        <v>1050</v>
      </c>
    </row>
    <row r="32" spans="1:13">
      <c r="A32" s="63"/>
      <c r="B32" s="6" t="s">
        <v>56</v>
      </c>
      <c r="C32" s="91">
        <f>SUM(C26:C31)</f>
        <v>4546.73</v>
      </c>
    </row>
  </sheetData>
  <autoFilter xmlns:etc="http://www.wps.cn/officeDocument/2017/etCustomData" ref="A4:M16" etc:filterBottomFollowUsedRange="0">
    <extLst/>
  </autoFilter>
  <mergeCells count="15">
    <mergeCell ref="F3:H3"/>
    <mergeCell ref="A16:E16"/>
    <mergeCell ref="A3:A4"/>
    <mergeCell ref="A18:A24"/>
    <mergeCell ref="A26:A32"/>
    <mergeCell ref="B3:B4"/>
    <mergeCell ref="C3:C4"/>
    <mergeCell ref="D3:D4"/>
    <mergeCell ref="E3:E4"/>
    <mergeCell ref="G20:G21"/>
    <mergeCell ref="I3:I4"/>
    <mergeCell ref="J3:J4"/>
    <mergeCell ref="A1:M2"/>
    <mergeCell ref="K3:M4"/>
    <mergeCell ref="I18:J20"/>
  </mergeCells>
  <dataValidations count="1">
    <dataValidation type="list" allowBlank="1" showInputMessage="1" showErrorMessage="1" sqref="C5:C15">
      <formula1>$B$18:$B$23</formula1>
    </dataValidation>
  </dataValidations>
  <printOptions horizontalCentered="1"/>
  <pageMargins left="0.2" right="0.180555555555556" top="0.16875" bottom="0.207638888888889" header="0.16875" footer="0.16875"/>
  <pageSetup paperSize="9" scale="65" orientation="landscape" horizontalDpi="6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41"/>
  <sheetViews>
    <sheetView zoomScale="110" zoomScaleNormal="110" workbookViewId="0">
      <pane xSplit="4" ySplit="4" topLeftCell="E5" activePane="bottomRight" state="frozen"/>
      <selection/>
      <selection pane="topRight"/>
      <selection pane="bottomLeft"/>
      <selection pane="bottomRight" activeCell="I27" sqref="I27:J29"/>
    </sheetView>
  </sheetViews>
  <sheetFormatPr defaultColWidth="9" defaultRowHeight="16.8"/>
  <cols>
    <col min="1" max="1" width="13.0096153846154" style="12" customWidth="1"/>
    <col min="2" max="2" width="10.4615384615385" style="12" customWidth="1"/>
    <col min="3" max="3" width="15.6923076923077" style="12" customWidth="1"/>
    <col min="4" max="4" width="25.4711538461538" style="12" customWidth="1"/>
    <col min="5" max="5" width="18.7692307692308" style="12" customWidth="1"/>
    <col min="6" max="6" width="15.6923076923077" style="12" customWidth="1"/>
    <col min="7" max="8" width="15.6923076923077" style="13" customWidth="1"/>
    <col min="9" max="9" width="15.6923076923077" style="12" customWidth="1"/>
    <col min="10" max="10" width="71.2980769230769" style="14" customWidth="1"/>
    <col min="11" max="11" width="7.375" style="3" customWidth="1"/>
    <col min="12" max="13" width="7.375" style="12" customWidth="1"/>
    <col min="14" max="16384" width="9.06730769230769" style="12"/>
  </cols>
  <sheetData>
    <row r="1" spans="1:18">
      <c r="A1" s="64" t="s">
        <v>85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8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ht="19" customHeight="1" spans="1:18">
      <c r="A3" s="65" t="s">
        <v>1</v>
      </c>
      <c r="B3" s="65" t="s">
        <v>2</v>
      </c>
      <c r="C3" s="65" t="s">
        <v>3</v>
      </c>
      <c r="D3" s="66" t="s">
        <v>4</v>
      </c>
      <c r="E3" s="65" t="s">
        <v>5</v>
      </c>
      <c r="F3" s="67" t="s">
        <v>6</v>
      </c>
      <c r="G3" s="68"/>
      <c r="H3" s="69"/>
      <c r="I3" s="65" t="s">
        <v>7</v>
      </c>
      <c r="J3" s="66" t="s">
        <v>8</v>
      </c>
      <c r="K3" s="70" t="s">
        <v>9</v>
      </c>
      <c r="L3" s="71"/>
      <c r="M3" s="72"/>
    </row>
    <row r="4" ht="19" customHeight="1" spans="1:18">
      <c r="A4" s="73"/>
      <c r="B4" s="73"/>
      <c r="C4" s="73"/>
      <c r="D4" s="74"/>
      <c r="E4" s="73"/>
      <c r="F4" s="75" t="s">
        <v>10</v>
      </c>
      <c r="G4" s="76" t="s">
        <v>11</v>
      </c>
      <c r="H4" s="76" t="s">
        <v>12</v>
      </c>
      <c r="I4" s="73"/>
      <c r="J4" s="74"/>
      <c r="K4" s="77"/>
      <c r="L4" s="78"/>
      <c r="M4" s="79"/>
    </row>
    <row r="5" ht="20" customHeight="1" spans="1:18">
      <c r="A5" s="88">
        <v>45924</v>
      </c>
      <c r="B5" s="10">
        <v>1</v>
      </c>
      <c r="C5" s="32" t="s">
        <v>17</v>
      </c>
      <c r="D5" s="32" t="s">
        <v>86</v>
      </c>
      <c r="E5" s="10" t="s">
        <v>87</v>
      </c>
      <c r="F5" s="34">
        <v>304</v>
      </c>
      <c r="G5" s="34"/>
      <c r="H5" s="34">
        <f>SUM(F5:G5)</f>
        <v>304</v>
      </c>
      <c r="I5" s="10"/>
      <c r="J5" s="37"/>
      <c r="K5" s="10"/>
      <c r="L5" s="35"/>
      <c r="M5" s="35"/>
    </row>
    <row r="6" ht="20" customHeight="1" spans="1:18">
      <c r="A6" s="88">
        <v>45924</v>
      </c>
      <c r="B6" s="10">
        <v>2</v>
      </c>
      <c r="C6" s="32" t="s">
        <v>23</v>
      </c>
      <c r="D6" s="32" t="s">
        <v>82</v>
      </c>
      <c r="E6" s="10" t="s">
        <v>88</v>
      </c>
      <c r="F6" s="34">
        <f>2640+220</f>
        <v>2860</v>
      </c>
      <c r="G6" s="34">
        <f>466+1</f>
        <v>467</v>
      </c>
      <c r="H6" s="34">
        <f>SUM(F6:G6)</f>
        <v>3327</v>
      </c>
      <c r="I6" s="10"/>
      <c r="J6" s="37"/>
      <c r="K6" s="10"/>
      <c r="L6" s="35"/>
      <c r="M6" s="35"/>
    </row>
    <row r="7" ht="20" customHeight="1" spans="1:18">
      <c r="A7" s="88">
        <v>45924</v>
      </c>
      <c r="B7" s="10">
        <v>3</v>
      </c>
      <c r="C7" s="32" t="s">
        <v>13</v>
      </c>
      <c r="D7" s="32" t="s">
        <v>89</v>
      </c>
      <c r="E7" s="10" t="s">
        <v>90</v>
      </c>
      <c r="F7" s="34"/>
      <c r="G7" s="34">
        <v>30.23</v>
      </c>
      <c r="H7" s="34">
        <f>SUM(F7:G7)</f>
        <v>30.23</v>
      </c>
      <c r="I7" s="10" t="s">
        <v>28</v>
      </c>
      <c r="J7" s="37"/>
      <c r="K7" s="10"/>
      <c r="L7" s="35"/>
      <c r="M7" s="35"/>
    </row>
    <row r="8" ht="20" customHeight="1" spans="1:18">
      <c r="A8" s="88">
        <v>45924</v>
      </c>
      <c r="B8" s="10">
        <v>4</v>
      </c>
      <c r="C8" s="32" t="s">
        <v>13</v>
      </c>
      <c r="D8" s="32" t="s">
        <v>89</v>
      </c>
      <c r="E8" s="10" t="s">
        <v>91</v>
      </c>
      <c r="F8" s="34"/>
      <c r="G8" s="34">
        <v>15.46</v>
      </c>
      <c r="H8" s="34">
        <f t="shared" ref="H8:H26" si="0">SUM(F8:G8)</f>
        <v>15.46</v>
      </c>
      <c r="I8" s="10" t="s">
        <v>28</v>
      </c>
      <c r="J8" s="37"/>
      <c r="K8" s="10"/>
      <c r="L8" s="35"/>
      <c r="M8" s="35"/>
    </row>
    <row r="9" ht="20" customHeight="1" spans="1:18">
      <c r="A9" s="88">
        <v>45926</v>
      </c>
      <c r="B9" s="10">
        <v>5</v>
      </c>
      <c r="C9" s="32" t="s">
        <v>13</v>
      </c>
      <c r="D9" s="32" t="s">
        <v>89</v>
      </c>
      <c r="E9" s="10" t="s">
        <v>92</v>
      </c>
      <c r="F9" s="34"/>
      <c r="G9" s="34">
        <v>11.7</v>
      </c>
      <c r="H9" s="34">
        <f t="shared" si="0"/>
        <v>11.7</v>
      </c>
      <c r="I9" s="10" t="s">
        <v>28</v>
      </c>
      <c r="J9" s="37"/>
      <c r="K9" s="10"/>
      <c r="L9" s="35"/>
      <c r="M9" s="35"/>
    </row>
    <row r="10" ht="20" customHeight="1" spans="1:18">
      <c r="A10" s="88">
        <v>45927</v>
      </c>
      <c r="B10" s="10">
        <v>6</v>
      </c>
      <c r="C10" s="32" t="s">
        <v>13</v>
      </c>
      <c r="D10" s="32" t="s">
        <v>89</v>
      </c>
      <c r="E10" s="10" t="s">
        <v>91</v>
      </c>
      <c r="F10" s="34"/>
      <c r="G10" s="34">
        <v>13.11</v>
      </c>
      <c r="H10" s="34">
        <f t="shared" si="0"/>
        <v>13.11</v>
      </c>
      <c r="I10" s="10" t="s">
        <v>28</v>
      </c>
      <c r="J10" s="37"/>
      <c r="K10" s="10"/>
      <c r="L10" s="35"/>
      <c r="M10" s="35"/>
    </row>
    <row r="11" ht="20" customHeight="1" spans="1:18">
      <c r="A11" s="88">
        <v>45928</v>
      </c>
      <c r="B11" s="10">
        <v>7</v>
      </c>
      <c r="C11" s="32" t="s">
        <v>13</v>
      </c>
      <c r="D11" s="32" t="s">
        <v>89</v>
      </c>
      <c r="E11" s="10" t="s">
        <v>93</v>
      </c>
      <c r="F11" s="34"/>
      <c r="G11" s="34">
        <v>54.72</v>
      </c>
      <c r="H11" s="34">
        <f t="shared" si="0"/>
        <v>54.72</v>
      </c>
      <c r="I11" s="10" t="s">
        <v>28</v>
      </c>
      <c r="J11" s="37"/>
      <c r="K11" s="10"/>
      <c r="L11" s="35"/>
      <c r="M11" s="35"/>
    </row>
    <row r="12" ht="20" customHeight="1" spans="1:18">
      <c r="A12" s="88">
        <v>45928</v>
      </c>
      <c r="B12" s="10">
        <v>8</v>
      </c>
      <c r="C12" s="32" t="s">
        <v>13</v>
      </c>
      <c r="D12" s="32" t="s">
        <v>89</v>
      </c>
      <c r="E12" s="10" t="s">
        <v>94</v>
      </c>
      <c r="F12" s="34"/>
      <c r="G12" s="34">
        <v>63.83</v>
      </c>
      <c r="H12" s="34">
        <f t="shared" si="0"/>
        <v>63.83</v>
      </c>
      <c r="I12" s="10" t="s">
        <v>28</v>
      </c>
      <c r="J12" s="37"/>
      <c r="K12" s="10"/>
      <c r="L12" s="35"/>
      <c r="M12" s="35"/>
    </row>
    <row r="13" ht="20" customHeight="1" spans="1:18">
      <c r="A13" s="88">
        <v>45928</v>
      </c>
      <c r="B13" s="10">
        <v>9</v>
      </c>
      <c r="C13" s="32" t="s">
        <v>13</v>
      </c>
      <c r="D13" s="32" t="s">
        <v>89</v>
      </c>
      <c r="E13" s="10" t="s">
        <v>92</v>
      </c>
      <c r="F13" s="34"/>
      <c r="G13" s="34">
        <v>9.6</v>
      </c>
      <c r="H13" s="34">
        <f t="shared" si="0"/>
        <v>9.6</v>
      </c>
      <c r="I13" s="10" t="s">
        <v>28</v>
      </c>
      <c r="J13" s="37"/>
      <c r="K13" s="10"/>
      <c r="L13" s="35"/>
      <c r="M13" s="35"/>
      <c r="Q13" s="12">
        <f>H6-R13</f>
        <v>467</v>
      </c>
      <c r="R13" s="12">
        <f>220*13</f>
        <v>2860</v>
      </c>
    </row>
    <row r="14" ht="20" customHeight="1" spans="1:18">
      <c r="A14" s="88">
        <v>45932</v>
      </c>
      <c r="B14" s="10">
        <v>10</v>
      </c>
      <c r="C14" s="32" t="s">
        <v>13</v>
      </c>
      <c r="D14" s="32" t="s">
        <v>89</v>
      </c>
      <c r="E14" s="10" t="s">
        <v>95</v>
      </c>
      <c r="F14" s="34"/>
      <c r="G14" s="34">
        <v>11.36</v>
      </c>
      <c r="H14" s="34">
        <f t="shared" si="0"/>
        <v>11.36</v>
      </c>
      <c r="I14" s="10" t="s">
        <v>28</v>
      </c>
      <c r="J14" s="37" t="s">
        <v>96</v>
      </c>
      <c r="K14" s="10"/>
      <c r="L14" s="35"/>
      <c r="M14" s="35"/>
    </row>
    <row r="15" ht="20" customHeight="1" spans="1:18">
      <c r="A15" s="88">
        <v>45934</v>
      </c>
      <c r="B15" s="10">
        <v>11</v>
      </c>
      <c r="C15" s="32" t="s">
        <v>13</v>
      </c>
      <c r="D15" s="32" t="s">
        <v>89</v>
      </c>
      <c r="E15" s="10" t="s">
        <v>91</v>
      </c>
      <c r="F15" s="34"/>
      <c r="G15" s="34">
        <v>11.8</v>
      </c>
      <c r="H15" s="34">
        <f t="shared" si="0"/>
        <v>11.8</v>
      </c>
      <c r="I15" s="10" t="s">
        <v>28</v>
      </c>
      <c r="J15" s="37"/>
      <c r="K15" s="10"/>
      <c r="L15" s="35"/>
      <c r="M15" s="35"/>
    </row>
    <row r="16" ht="20" customHeight="1" spans="1:18">
      <c r="A16" s="88">
        <v>45934</v>
      </c>
      <c r="B16" s="10">
        <v>12</v>
      </c>
      <c r="C16" s="32" t="s">
        <v>13</v>
      </c>
      <c r="D16" s="32" t="s">
        <v>89</v>
      </c>
      <c r="E16" s="10" t="s">
        <v>92</v>
      </c>
      <c r="F16" s="34"/>
      <c r="G16" s="34">
        <v>14</v>
      </c>
      <c r="H16" s="34">
        <f t="shared" si="0"/>
        <v>14</v>
      </c>
      <c r="I16" s="10" t="s">
        <v>28</v>
      </c>
      <c r="J16" s="37"/>
      <c r="K16" s="10"/>
      <c r="L16" s="35"/>
      <c r="M16" s="35"/>
    </row>
    <row r="17" ht="20" customHeight="1" spans="1:13">
      <c r="A17" s="88">
        <v>45935</v>
      </c>
      <c r="B17" s="10">
        <v>13</v>
      </c>
      <c r="C17" s="32" t="s">
        <v>13</v>
      </c>
      <c r="D17" s="32" t="s">
        <v>89</v>
      </c>
      <c r="E17" s="10" t="s">
        <v>91</v>
      </c>
      <c r="F17" s="34"/>
      <c r="G17" s="34">
        <v>16.9</v>
      </c>
      <c r="H17" s="34">
        <f t="shared" si="0"/>
        <v>16.9</v>
      </c>
      <c r="I17" s="10" t="s">
        <v>28</v>
      </c>
      <c r="J17" s="37"/>
      <c r="K17" s="10"/>
      <c r="L17" s="35"/>
      <c r="M17" s="35"/>
    </row>
    <row r="18" ht="20" customHeight="1" spans="1:13">
      <c r="A18" s="88">
        <v>45936</v>
      </c>
      <c r="B18" s="10">
        <v>14</v>
      </c>
      <c r="C18" s="32" t="s">
        <v>13</v>
      </c>
      <c r="D18" s="32" t="s">
        <v>89</v>
      </c>
      <c r="E18" s="10" t="s">
        <v>91</v>
      </c>
      <c r="F18" s="34"/>
      <c r="G18" s="34">
        <v>16.8</v>
      </c>
      <c r="H18" s="34">
        <f t="shared" si="0"/>
        <v>16.8</v>
      </c>
      <c r="I18" s="10" t="s">
        <v>28</v>
      </c>
      <c r="J18" s="37"/>
      <c r="K18" s="10"/>
      <c r="L18" s="35"/>
      <c r="M18" s="35"/>
    </row>
    <row r="19" ht="20" customHeight="1" spans="1:13">
      <c r="A19" s="88">
        <v>45937</v>
      </c>
      <c r="B19" s="10">
        <v>15</v>
      </c>
      <c r="C19" s="32" t="s">
        <v>13</v>
      </c>
      <c r="D19" s="32" t="s">
        <v>89</v>
      </c>
      <c r="E19" s="10" t="s">
        <v>97</v>
      </c>
      <c r="F19" s="34"/>
      <c r="G19" s="34">
        <v>83.04</v>
      </c>
      <c r="H19" s="34">
        <f t="shared" si="0"/>
        <v>83.04</v>
      </c>
      <c r="I19" s="10" t="s">
        <v>28</v>
      </c>
      <c r="J19" s="37"/>
      <c r="K19" s="10"/>
      <c r="L19" s="35"/>
      <c r="M19" s="35"/>
    </row>
    <row r="20" ht="20" customHeight="1" spans="1:13">
      <c r="A20" s="88">
        <v>45937</v>
      </c>
      <c r="B20" s="10">
        <v>16</v>
      </c>
      <c r="C20" s="32" t="s">
        <v>13</v>
      </c>
      <c r="D20" s="32" t="s">
        <v>14</v>
      </c>
      <c r="E20" s="10" t="s">
        <v>98</v>
      </c>
      <c r="F20" s="34"/>
      <c r="G20" s="34">
        <v>42.51</v>
      </c>
      <c r="H20" s="34">
        <f t="shared" si="0"/>
        <v>42.51</v>
      </c>
      <c r="I20" s="10" t="s">
        <v>28</v>
      </c>
      <c r="J20" s="37"/>
      <c r="K20" s="10"/>
      <c r="L20" s="35"/>
      <c r="M20" s="35"/>
    </row>
    <row r="21" ht="20" customHeight="1" spans="1:13">
      <c r="A21" s="88">
        <v>45937</v>
      </c>
      <c r="B21" s="10">
        <v>17</v>
      </c>
      <c r="C21" s="32" t="s">
        <v>17</v>
      </c>
      <c r="D21" s="32" t="s">
        <v>99</v>
      </c>
      <c r="E21" s="10" t="s">
        <v>100</v>
      </c>
      <c r="F21" s="34">
        <v>248</v>
      </c>
      <c r="G21" s="34"/>
      <c r="H21" s="34">
        <f t="shared" si="0"/>
        <v>248</v>
      </c>
      <c r="I21" s="10"/>
      <c r="J21" s="37"/>
      <c r="K21" s="10"/>
      <c r="L21" s="35"/>
      <c r="M21" s="35"/>
    </row>
    <row r="22" ht="20" customHeight="1" spans="1:13">
      <c r="A22" s="39">
        <v>45926</v>
      </c>
      <c r="B22" s="10">
        <v>18</v>
      </c>
      <c r="C22" s="32" t="s">
        <v>54</v>
      </c>
      <c r="D22" s="32" t="s">
        <v>101</v>
      </c>
      <c r="E22" s="10"/>
      <c r="F22" s="34">
        <v>245</v>
      </c>
      <c r="G22" s="34"/>
      <c r="H22" s="34">
        <f t="shared" si="0"/>
        <v>245</v>
      </c>
      <c r="I22" s="10"/>
      <c r="J22" s="37" t="s">
        <v>102</v>
      </c>
      <c r="K22" s="10"/>
      <c r="L22" s="35"/>
      <c r="M22" s="35"/>
    </row>
    <row r="23" ht="20" customHeight="1" spans="1:13">
      <c r="A23" s="39" t="s">
        <v>28</v>
      </c>
      <c r="B23" s="10">
        <v>19</v>
      </c>
      <c r="C23" s="32" t="s">
        <v>51</v>
      </c>
      <c r="D23" s="32" t="s">
        <v>82</v>
      </c>
      <c r="E23" s="86" t="s">
        <v>103</v>
      </c>
      <c r="F23" s="34"/>
      <c r="G23" s="34">
        <f>50*14+50</f>
        <v>750</v>
      </c>
      <c r="H23" s="34">
        <f t="shared" si="0"/>
        <v>750</v>
      </c>
      <c r="I23" s="10"/>
      <c r="J23" s="37" t="s">
        <v>104</v>
      </c>
      <c r="K23" s="10"/>
      <c r="L23" s="35"/>
      <c r="M23" s="35"/>
    </row>
    <row r="24" ht="20" customHeight="1" spans="1:13">
      <c r="A24" s="39" t="s">
        <v>28</v>
      </c>
      <c r="B24" s="10">
        <v>20</v>
      </c>
      <c r="C24" s="32" t="s">
        <v>54</v>
      </c>
      <c r="D24" s="32" t="s">
        <v>84</v>
      </c>
      <c r="E24" s="10" t="s">
        <v>103</v>
      </c>
      <c r="F24" s="34"/>
      <c r="G24" s="34">
        <f>150*14</f>
        <v>2100</v>
      </c>
      <c r="H24" s="34">
        <f t="shared" si="0"/>
        <v>2100</v>
      </c>
      <c r="I24" s="10"/>
      <c r="J24" s="37"/>
      <c r="K24" s="10"/>
      <c r="L24" s="35"/>
      <c r="M24" s="35"/>
    </row>
    <row r="25" ht="19" customHeight="1" spans="1:13">
      <c r="A25" s="75" t="s">
        <v>56</v>
      </c>
      <c r="B25" s="75"/>
      <c r="C25" s="75"/>
      <c r="D25" s="75"/>
      <c r="E25" s="75"/>
      <c r="F25" s="81">
        <f>SUM(F5:F24)</f>
        <v>3657</v>
      </c>
      <c r="G25" s="81">
        <f>SUM(G5:G24)</f>
        <v>3712.06</v>
      </c>
      <c r="H25" s="82">
        <f>SUM(H5:H24)</f>
        <v>7369.06</v>
      </c>
      <c r="I25" s="75"/>
      <c r="J25" s="83"/>
      <c r="K25" s="84"/>
      <c r="L25" s="85"/>
      <c r="M25" s="85"/>
    </row>
    <row r="26" spans="1:13">
      <c r="A26" s="48"/>
      <c r="B26" s="49"/>
      <c r="C26" s="49"/>
      <c r="D26" s="49"/>
      <c r="E26" s="49"/>
      <c r="F26" s="49"/>
      <c r="G26" s="50"/>
      <c r="H26" s="50"/>
      <c r="I26" s="49"/>
      <c r="J26" s="51"/>
      <c r="K26" s="49"/>
      <c r="L26" s="49"/>
      <c r="M26" s="49"/>
    </row>
    <row r="27" spans="1:13">
      <c r="A27" s="53" t="s">
        <v>57</v>
      </c>
      <c r="B27" s="32" t="s">
        <v>23</v>
      </c>
      <c r="C27" s="89">
        <f>SUMIF($C$5:C24,B27,$G$5:G24)</f>
        <v>467</v>
      </c>
      <c r="E27" s="10" t="s">
        <v>3</v>
      </c>
      <c r="F27" s="10" t="s">
        <v>6</v>
      </c>
      <c r="G27" s="55" t="s">
        <v>58</v>
      </c>
      <c r="I27" s="50" t="s">
        <v>59</v>
      </c>
      <c r="J27" s="50"/>
    </row>
    <row r="28" spans="1:13">
      <c r="A28" s="56"/>
      <c r="B28" s="32" t="s">
        <v>17</v>
      </c>
      <c r="C28" s="89">
        <f>SUMIF($C$5:C24,B28,$G$5:G24)</f>
        <v>0</v>
      </c>
      <c r="D28" s="57"/>
      <c r="E28" s="10" t="s">
        <v>60</v>
      </c>
      <c r="F28" s="90">
        <v>0</v>
      </c>
      <c r="G28" s="90">
        <f t="shared" ref="G28:G33" si="1">F28</f>
        <v>0</v>
      </c>
      <c r="I28" s="50"/>
      <c r="J28" s="50"/>
    </row>
    <row r="29" spans="1:13">
      <c r="A29" s="56"/>
      <c r="B29" s="32" t="s">
        <v>13</v>
      </c>
      <c r="C29" s="89">
        <f>SUMIF($C$5:C24,B29,$G$5:G24)</f>
        <v>395.06</v>
      </c>
      <c r="D29" s="57"/>
      <c r="E29" s="10" t="s">
        <v>61</v>
      </c>
      <c r="F29" s="90">
        <f>$F$25</f>
        <v>3657</v>
      </c>
      <c r="G29" s="90">
        <f>F29+F30</f>
        <v>3657</v>
      </c>
      <c r="I29" s="50"/>
      <c r="J29" s="50"/>
    </row>
    <row r="30" spans="1:13">
      <c r="A30" s="56"/>
      <c r="B30" s="32" t="s">
        <v>62</v>
      </c>
      <c r="C30" s="89">
        <f>SUMIF($C$5:C24,B30,$G$5:G24)</f>
        <v>0</v>
      </c>
      <c r="D30" s="57"/>
      <c r="E30" s="10" t="s">
        <v>63</v>
      </c>
      <c r="F30" s="90">
        <v>0</v>
      </c>
      <c r="G30" s="90"/>
    </row>
    <row r="31" spans="1:13">
      <c r="A31" s="56"/>
      <c r="B31" s="32" t="s">
        <v>51</v>
      </c>
      <c r="C31" s="89">
        <f>SUMIF($C$5:C24,B31,$G$5:G24)</f>
        <v>750</v>
      </c>
      <c r="D31" s="57"/>
      <c r="E31" s="10" t="s">
        <v>64</v>
      </c>
      <c r="F31" s="90">
        <f>$G$25</f>
        <v>3712.06</v>
      </c>
      <c r="G31" s="90">
        <f t="shared" si="1"/>
        <v>3712.06</v>
      </c>
    </row>
    <row r="32" spans="1:13">
      <c r="A32" s="56"/>
      <c r="B32" s="32" t="s">
        <v>54</v>
      </c>
      <c r="C32" s="89">
        <f>SUMIF($C$5:C24,B32,$G$5:G24)</f>
        <v>2100</v>
      </c>
      <c r="D32" s="57"/>
      <c r="E32" s="10" t="s">
        <v>65</v>
      </c>
      <c r="F32" s="90">
        <v>0</v>
      </c>
      <c r="G32" s="90">
        <v>0</v>
      </c>
    </row>
    <row r="33" spans="1:7">
      <c r="A33" s="60"/>
      <c r="B33" s="6" t="s">
        <v>56</v>
      </c>
      <c r="C33" s="91">
        <f>SUM(C27:C32)</f>
        <v>3712.06</v>
      </c>
      <c r="D33" s="57"/>
      <c r="E33" s="10" t="s">
        <v>66</v>
      </c>
      <c r="F33" s="90">
        <f>G25-F28</f>
        <v>3712.06</v>
      </c>
      <c r="G33" s="90">
        <f t="shared" si="1"/>
        <v>3712.06</v>
      </c>
    </row>
    <row r="34" spans="1:7">
      <c r="D34" s="3"/>
    </row>
    <row r="35" spans="1:7">
      <c r="A35" s="61" t="s">
        <v>58</v>
      </c>
      <c r="B35" s="32" t="s">
        <v>23</v>
      </c>
      <c r="C35" s="92">
        <f t="shared" ref="C35:C40" si="2">SUMIF($C$5:$C$24,B35,$H$5:$H$24)</f>
        <v>3327</v>
      </c>
    </row>
    <row r="36" spans="1:7">
      <c r="A36" s="62"/>
      <c r="B36" s="32" t="s">
        <v>17</v>
      </c>
      <c r="C36" s="92">
        <f t="shared" si="2"/>
        <v>552</v>
      </c>
    </row>
    <row r="37" spans="1:7">
      <c r="A37" s="62"/>
      <c r="B37" s="32" t="s">
        <v>13</v>
      </c>
      <c r="C37" s="92">
        <f t="shared" si="2"/>
        <v>395.06</v>
      </c>
    </row>
    <row r="38" spans="1:7">
      <c r="A38" s="62"/>
      <c r="B38" s="32" t="s">
        <v>62</v>
      </c>
      <c r="C38" s="92">
        <f t="shared" si="2"/>
        <v>0</v>
      </c>
    </row>
    <row r="39" spans="1:7">
      <c r="A39" s="62"/>
      <c r="B39" s="32" t="s">
        <v>51</v>
      </c>
      <c r="C39" s="92">
        <f t="shared" si="2"/>
        <v>750</v>
      </c>
    </row>
    <row r="40" spans="1:7">
      <c r="A40" s="62"/>
      <c r="B40" s="32" t="s">
        <v>54</v>
      </c>
      <c r="C40" s="92">
        <f t="shared" si="2"/>
        <v>2345</v>
      </c>
    </row>
    <row r="41" spans="1:7">
      <c r="A41" s="63"/>
      <c r="B41" s="6" t="s">
        <v>56</v>
      </c>
      <c r="C41" s="91">
        <f>SUM(C35:C40)</f>
        <v>7369.06</v>
      </c>
    </row>
  </sheetData>
  <autoFilter xmlns:etc="http://www.wps.cn/officeDocument/2017/etCustomData" ref="A4:M25" etc:filterBottomFollowUsedRange="0">
    <extLst/>
  </autoFilter>
  <mergeCells count="15">
    <mergeCell ref="F3:H3"/>
    <mergeCell ref="A25:E25"/>
    <mergeCell ref="A3:A4"/>
    <mergeCell ref="A27:A33"/>
    <mergeCell ref="A35:A41"/>
    <mergeCell ref="B3:B4"/>
    <mergeCell ref="C3:C4"/>
    <mergeCell ref="D3:D4"/>
    <mergeCell ref="E3:E4"/>
    <mergeCell ref="G29:G30"/>
    <mergeCell ref="I3:I4"/>
    <mergeCell ref="J3:J4"/>
    <mergeCell ref="A1:M2"/>
    <mergeCell ref="K3:M4"/>
    <mergeCell ref="I27:J29"/>
  </mergeCells>
  <dataValidations count="1">
    <dataValidation type="list" allowBlank="1" showInputMessage="1" showErrorMessage="1" sqref="C5:C24">
      <formula1>$B$27:$B$32</formula1>
    </dataValidation>
  </dataValidations>
  <printOptions horizontalCentered="1"/>
  <pageMargins left="0.2" right="0.180555555555556" top="0.16875" bottom="0.207638888888889" header="0.16875" footer="0.16875"/>
  <pageSetup paperSize="9" scale="55" orientation="landscape" horizontalDpi="6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2"/>
  <sheetViews>
    <sheetView zoomScale="80" zoomScaleNormal="80" workbookViewId="0">
      <pane xSplit="4" ySplit="4" topLeftCell="E5" activePane="bottomRight" state="frozen"/>
      <selection/>
      <selection pane="topRight"/>
      <selection pane="bottomLeft"/>
      <selection pane="bottomRight" activeCell="U22" sqref="U22"/>
    </sheetView>
  </sheetViews>
  <sheetFormatPr defaultColWidth="9" defaultRowHeight="16.8"/>
  <cols>
    <col min="1" max="1" width="13.0096153846154" style="12" customWidth="1"/>
    <col min="2" max="2" width="10.4615384615385" style="12" customWidth="1"/>
    <col min="3" max="3" width="15.6923076923077" style="12" customWidth="1"/>
    <col min="4" max="4" width="25.4711538461538" style="12" customWidth="1"/>
    <col min="5" max="5" width="18.7692307692308" style="12" customWidth="1"/>
    <col min="6" max="6" width="15.6923076923077" style="12" customWidth="1"/>
    <col min="7" max="8" width="15.6923076923077" style="13" customWidth="1"/>
    <col min="9" max="9" width="15.6923076923077" style="12" customWidth="1"/>
    <col min="10" max="10" width="71.2980769230769" style="14" customWidth="1"/>
    <col min="11" max="11" width="7.375" style="3" customWidth="1"/>
    <col min="12" max="13" width="7.375" style="12" customWidth="1"/>
    <col min="14" max="16384" width="9.06730769230769" style="12"/>
  </cols>
  <sheetData>
    <row r="1" spans="1:13">
      <c r="A1" s="64" t="s">
        <v>105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ht="19" customHeight="1" spans="1:13">
      <c r="A3" s="65" t="s">
        <v>1</v>
      </c>
      <c r="B3" s="65" t="s">
        <v>2</v>
      </c>
      <c r="C3" s="65" t="s">
        <v>3</v>
      </c>
      <c r="D3" s="66" t="s">
        <v>4</v>
      </c>
      <c r="E3" s="65" t="s">
        <v>5</v>
      </c>
      <c r="F3" s="67" t="s">
        <v>6</v>
      </c>
      <c r="G3" s="68"/>
      <c r="H3" s="69"/>
      <c r="I3" s="65" t="s">
        <v>7</v>
      </c>
      <c r="J3" s="66" t="s">
        <v>8</v>
      </c>
      <c r="K3" s="70" t="s">
        <v>9</v>
      </c>
      <c r="L3" s="71"/>
      <c r="M3" s="72"/>
    </row>
    <row r="4" ht="19" customHeight="1" spans="1:13">
      <c r="A4" s="73"/>
      <c r="B4" s="73"/>
      <c r="C4" s="73"/>
      <c r="D4" s="74"/>
      <c r="E4" s="73"/>
      <c r="F4" s="75" t="s">
        <v>10</v>
      </c>
      <c r="G4" s="76" t="s">
        <v>11</v>
      </c>
      <c r="H4" s="76" t="s">
        <v>12</v>
      </c>
      <c r="I4" s="73"/>
      <c r="J4" s="74"/>
      <c r="K4" s="77"/>
      <c r="L4" s="78"/>
      <c r="M4" s="79"/>
    </row>
    <row r="5" ht="20" customHeight="1" spans="1:13">
      <c r="A5" s="87">
        <v>45771</v>
      </c>
      <c r="B5" s="10">
        <v>1</v>
      </c>
      <c r="C5" s="32" t="s">
        <v>17</v>
      </c>
      <c r="D5" s="32" t="s">
        <v>18</v>
      </c>
      <c r="E5" s="10" t="s">
        <v>19</v>
      </c>
      <c r="F5" s="34">
        <v>1160</v>
      </c>
      <c r="G5" s="34"/>
      <c r="H5" s="34">
        <f t="shared" ref="H5:H35" si="0">SUM(F5:G5)</f>
        <v>1160</v>
      </c>
      <c r="I5" s="10"/>
      <c r="J5" s="37" t="s">
        <v>106</v>
      </c>
      <c r="K5" s="10"/>
      <c r="L5" s="35"/>
      <c r="M5" s="35"/>
    </row>
    <row r="6" ht="20" customHeight="1" spans="1:13">
      <c r="A6" s="87">
        <v>45771</v>
      </c>
      <c r="B6" s="10">
        <v>2</v>
      </c>
      <c r="C6" s="32" t="s">
        <v>23</v>
      </c>
      <c r="D6" s="32" t="s">
        <v>24</v>
      </c>
      <c r="E6" s="10" t="s">
        <v>107</v>
      </c>
      <c r="F6" s="34">
        <v>2624</v>
      </c>
      <c r="G6" s="34"/>
      <c r="H6" s="34">
        <f t="shared" si="0"/>
        <v>2624</v>
      </c>
      <c r="I6" s="10"/>
      <c r="J6" s="37" t="s">
        <v>108</v>
      </c>
      <c r="K6" s="10"/>
      <c r="L6" s="35"/>
      <c r="M6" s="35"/>
    </row>
    <row r="7" ht="20" customHeight="1" spans="1:13">
      <c r="A7" s="87">
        <v>45771</v>
      </c>
      <c r="B7" s="10">
        <v>3</v>
      </c>
      <c r="C7" s="32" t="s">
        <v>13</v>
      </c>
      <c r="D7" s="32" t="s">
        <v>14</v>
      </c>
      <c r="E7" s="10" t="s">
        <v>15</v>
      </c>
      <c r="F7" s="34"/>
      <c r="G7" s="34">
        <v>107.3</v>
      </c>
      <c r="H7" s="34">
        <f t="shared" si="0"/>
        <v>107.3</v>
      </c>
      <c r="I7" s="10"/>
      <c r="J7" s="37"/>
      <c r="K7" s="10"/>
      <c r="L7" s="35"/>
      <c r="M7" s="35"/>
    </row>
    <row r="8" ht="20" customHeight="1" spans="1:13">
      <c r="A8" s="87">
        <v>45772</v>
      </c>
      <c r="B8" s="10">
        <v>4</v>
      </c>
      <c r="C8" s="32" t="s">
        <v>13</v>
      </c>
      <c r="D8" s="32" t="s">
        <v>20</v>
      </c>
      <c r="E8" s="10" t="s">
        <v>109</v>
      </c>
      <c r="F8" s="34"/>
      <c r="G8" s="34">
        <v>32.9</v>
      </c>
      <c r="H8" s="34">
        <f t="shared" si="0"/>
        <v>32.9</v>
      </c>
      <c r="I8" s="10"/>
      <c r="J8" s="37"/>
      <c r="K8" s="10"/>
      <c r="L8" s="35"/>
      <c r="M8" s="35"/>
    </row>
    <row r="9" ht="20" customHeight="1" spans="1:13">
      <c r="A9" s="87">
        <v>45774</v>
      </c>
      <c r="B9" s="10">
        <v>5</v>
      </c>
      <c r="C9" s="32" t="s">
        <v>13</v>
      </c>
      <c r="D9" s="32" t="s">
        <v>20</v>
      </c>
      <c r="E9" s="10" t="s">
        <v>110</v>
      </c>
      <c r="F9" s="34"/>
      <c r="G9" s="34">
        <v>13.6</v>
      </c>
      <c r="H9" s="34">
        <f t="shared" si="0"/>
        <v>13.6</v>
      </c>
      <c r="I9" s="10"/>
      <c r="J9" s="37"/>
      <c r="K9" s="10"/>
      <c r="L9" s="35"/>
      <c r="M9" s="35"/>
    </row>
    <row r="10" ht="20" customHeight="1" spans="1:13">
      <c r="A10" s="87">
        <v>45774</v>
      </c>
      <c r="B10" s="10">
        <v>6</v>
      </c>
      <c r="C10" s="32" t="s">
        <v>13</v>
      </c>
      <c r="D10" s="32" t="s">
        <v>20</v>
      </c>
      <c r="E10" s="10" t="s">
        <v>111</v>
      </c>
      <c r="F10" s="34"/>
      <c r="G10" s="34">
        <v>15.4</v>
      </c>
      <c r="H10" s="34">
        <f t="shared" si="0"/>
        <v>15.4</v>
      </c>
      <c r="I10" s="10"/>
      <c r="J10" s="37"/>
      <c r="K10" s="10"/>
      <c r="L10" s="35"/>
      <c r="M10" s="35"/>
    </row>
    <row r="11" ht="20" customHeight="1" spans="1:13">
      <c r="A11" s="87">
        <v>45775</v>
      </c>
      <c r="B11" s="10">
        <v>7</v>
      </c>
      <c r="C11" s="32" t="s">
        <v>13</v>
      </c>
      <c r="D11" s="32" t="s">
        <v>20</v>
      </c>
      <c r="E11" s="10" t="s">
        <v>110</v>
      </c>
      <c r="F11" s="34"/>
      <c r="G11" s="34">
        <v>18.4</v>
      </c>
      <c r="H11" s="34">
        <f t="shared" si="0"/>
        <v>18.4</v>
      </c>
      <c r="I11" s="10"/>
      <c r="J11" s="37"/>
      <c r="K11" s="10"/>
      <c r="L11" s="35"/>
      <c r="M11" s="35"/>
    </row>
    <row r="12" ht="20" customHeight="1" spans="1:13">
      <c r="A12" s="87">
        <v>45775</v>
      </c>
      <c r="B12" s="10">
        <v>8</v>
      </c>
      <c r="C12" s="32" t="s">
        <v>13</v>
      </c>
      <c r="D12" s="32" t="s">
        <v>20</v>
      </c>
      <c r="E12" s="10" t="s">
        <v>111</v>
      </c>
      <c r="F12" s="34"/>
      <c r="G12" s="34">
        <v>13.15</v>
      </c>
      <c r="H12" s="34">
        <f t="shared" si="0"/>
        <v>13.15</v>
      </c>
      <c r="I12" s="10"/>
      <c r="J12" s="37"/>
      <c r="K12" s="10"/>
      <c r="L12" s="35"/>
      <c r="M12" s="35"/>
    </row>
    <row r="13" ht="20" customHeight="1" spans="1:13">
      <c r="A13" s="87">
        <v>45775</v>
      </c>
      <c r="B13" s="10">
        <v>9</v>
      </c>
      <c r="C13" s="32" t="s">
        <v>13</v>
      </c>
      <c r="D13" s="32" t="s">
        <v>20</v>
      </c>
      <c r="E13" s="10" t="s">
        <v>112</v>
      </c>
      <c r="F13" s="34"/>
      <c r="G13" s="34">
        <v>35.07</v>
      </c>
      <c r="H13" s="34">
        <f t="shared" si="0"/>
        <v>35.07</v>
      </c>
      <c r="I13" s="10"/>
      <c r="J13" s="37"/>
      <c r="K13" s="10"/>
      <c r="L13" s="35"/>
      <c r="M13" s="35"/>
    </row>
    <row r="14" ht="20" customHeight="1" spans="1:13">
      <c r="A14" s="87">
        <v>45775</v>
      </c>
      <c r="B14" s="10">
        <v>10</v>
      </c>
      <c r="C14" s="32" t="s">
        <v>13</v>
      </c>
      <c r="D14" s="32" t="s">
        <v>20</v>
      </c>
      <c r="E14" s="10" t="s">
        <v>113</v>
      </c>
      <c r="F14" s="34"/>
      <c r="G14" s="34">
        <v>36.17</v>
      </c>
      <c r="H14" s="34">
        <f t="shared" si="0"/>
        <v>36.17</v>
      </c>
      <c r="I14" s="10"/>
      <c r="J14" s="37"/>
      <c r="K14" s="10"/>
      <c r="L14" s="35"/>
      <c r="M14" s="35"/>
    </row>
    <row r="15" ht="20" customHeight="1" spans="1:13">
      <c r="A15" s="87">
        <v>45775</v>
      </c>
      <c r="B15" s="10">
        <v>11</v>
      </c>
      <c r="C15" s="32" t="s">
        <v>13</v>
      </c>
      <c r="D15" s="32" t="s">
        <v>20</v>
      </c>
      <c r="E15" s="10" t="s">
        <v>111</v>
      </c>
      <c r="F15" s="34"/>
      <c r="G15" s="34">
        <v>12.4</v>
      </c>
      <c r="H15" s="34">
        <f t="shared" si="0"/>
        <v>12.4</v>
      </c>
      <c r="I15" s="10"/>
      <c r="J15" s="37"/>
      <c r="K15" s="10"/>
      <c r="L15" s="35"/>
      <c r="M15" s="35"/>
    </row>
    <row r="16" ht="20" customHeight="1" spans="1:13">
      <c r="A16" s="87">
        <v>45776</v>
      </c>
      <c r="B16" s="10">
        <v>12</v>
      </c>
      <c r="C16" s="32" t="s">
        <v>13</v>
      </c>
      <c r="D16" s="32" t="s">
        <v>20</v>
      </c>
      <c r="E16" s="10" t="s">
        <v>110</v>
      </c>
      <c r="F16" s="34"/>
      <c r="G16" s="34">
        <v>16.78</v>
      </c>
      <c r="H16" s="34">
        <f t="shared" si="0"/>
        <v>16.78</v>
      </c>
      <c r="I16" s="10"/>
      <c r="J16" s="37"/>
      <c r="K16" s="10"/>
      <c r="L16" s="35"/>
      <c r="M16" s="35"/>
    </row>
    <row r="17" ht="20" customHeight="1" spans="1:13">
      <c r="A17" s="87">
        <v>45776</v>
      </c>
      <c r="B17" s="10">
        <v>13</v>
      </c>
      <c r="C17" s="32" t="s">
        <v>13</v>
      </c>
      <c r="D17" s="32" t="s">
        <v>20</v>
      </c>
      <c r="E17" s="10" t="s">
        <v>111</v>
      </c>
      <c r="F17" s="34"/>
      <c r="G17" s="34">
        <v>17.14</v>
      </c>
      <c r="H17" s="34">
        <f t="shared" si="0"/>
        <v>17.14</v>
      </c>
      <c r="I17" s="10"/>
      <c r="J17" s="37"/>
      <c r="K17" s="10"/>
      <c r="L17" s="35"/>
      <c r="M17" s="35"/>
    </row>
    <row r="18" ht="20" customHeight="1" spans="1:13">
      <c r="A18" s="87">
        <v>45777</v>
      </c>
      <c r="B18" s="10">
        <v>14</v>
      </c>
      <c r="C18" s="32" t="s">
        <v>13</v>
      </c>
      <c r="D18" s="32" t="s">
        <v>20</v>
      </c>
      <c r="E18" s="10" t="s">
        <v>110</v>
      </c>
      <c r="F18" s="34"/>
      <c r="G18" s="34">
        <v>18.27</v>
      </c>
      <c r="H18" s="34">
        <f t="shared" si="0"/>
        <v>18.27</v>
      </c>
      <c r="I18" s="10"/>
      <c r="J18" s="37"/>
      <c r="K18" s="10"/>
      <c r="L18" s="35"/>
      <c r="M18" s="35"/>
    </row>
    <row r="19" ht="20" customHeight="1" spans="1:13">
      <c r="A19" s="87">
        <v>45778</v>
      </c>
      <c r="B19" s="10">
        <v>15</v>
      </c>
      <c r="C19" s="32" t="s">
        <v>13</v>
      </c>
      <c r="D19" s="32" t="s">
        <v>20</v>
      </c>
      <c r="E19" s="10" t="s">
        <v>110</v>
      </c>
      <c r="F19" s="34"/>
      <c r="G19" s="34">
        <v>21.99</v>
      </c>
      <c r="H19" s="34">
        <f t="shared" si="0"/>
        <v>21.99</v>
      </c>
      <c r="I19" s="10"/>
      <c r="J19" s="37"/>
      <c r="K19" s="10"/>
      <c r="L19" s="35"/>
      <c r="M19" s="35"/>
    </row>
    <row r="20" ht="20" customHeight="1" spans="1:13">
      <c r="A20" s="87">
        <v>45778</v>
      </c>
      <c r="B20" s="10">
        <v>16</v>
      </c>
      <c r="C20" s="32" t="s">
        <v>13</v>
      </c>
      <c r="D20" s="32" t="s">
        <v>20</v>
      </c>
      <c r="E20" s="10" t="s">
        <v>111</v>
      </c>
      <c r="F20" s="34"/>
      <c r="G20" s="34">
        <v>22.84</v>
      </c>
      <c r="H20" s="34">
        <f t="shared" si="0"/>
        <v>22.84</v>
      </c>
      <c r="I20" s="10"/>
      <c r="J20" s="37"/>
      <c r="K20" s="10"/>
      <c r="L20" s="35"/>
      <c r="M20" s="35"/>
    </row>
    <row r="21" ht="20" customHeight="1" spans="1:13">
      <c r="A21" s="87">
        <v>45779</v>
      </c>
      <c r="B21" s="10">
        <v>17</v>
      </c>
      <c r="C21" s="32" t="s">
        <v>13</v>
      </c>
      <c r="D21" s="32" t="s">
        <v>20</v>
      </c>
      <c r="E21" s="10" t="s">
        <v>110</v>
      </c>
      <c r="F21" s="34"/>
      <c r="G21" s="34">
        <v>21.6</v>
      </c>
      <c r="H21" s="34">
        <f t="shared" si="0"/>
        <v>21.6</v>
      </c>
      <c r="I21" s="10"/>
      <c r="J21" s="37"/>
      <c r="K21" s="10"/>
      <c r="L21" s="35"/>
      <c r="M21" s="35"/>
    </row>
    <row r="22" ht="20" customHeight="1" spans="1:13">
      <c r="A22" s="87">
        <v>45779</v>
      </c>
      <c r="B22" s="10">
        <v>18</v>
      </c>
      <c r="C22" s="32" t="s">
        <v>13</v>
      </c>
      <c r="D22" s="32" t="s">
        <v>20</v>
      </c>
      <c r="E22" s="10" t="s">
        <v>111</v>
      </c>
      <c r="F22" s="34"/>
      <c r="G22" s="34">
        <v>17.5</v>
      </c>
      <c r="H22" s="34">
        <f t="shared" si="0"/>
        <v>17.5</v>
      </c>
      <c r="I22" s="10"/>
      <c r="J22" s="37"/>
      <c r="K22" s="10"/>
      <c r="L22" s="35"/>
      <c r="M22" s="35"/>
    </row>
    <row r="23" ht="20" customHeight="1" spans="1:13">
      <c r="A23" s="87">
        <v>45780</v>
      </c>
      <c r="B23" s="10">
        <v>19</v>
      </c>
      <c r="C23" s="32" t="s">
        <v>13</v>
      </c>
      <c r="D23" s="32" t="s">
        <v>20</v>
      </c>
      <c r="E23" s="10" t="s">
        <v>110</v>
      </c>
      <c r="F23" s="34"/>
      <c r="G23" s="34">
        <v>17.16</v>
      </c>
      <c r="H23" s="34">
        <f t="shared" si="0"/>
        <v>17.16</v>
      </c>
      <c r="I23" s="10"/>
      <c r="J23" s="37"/>
      <c r="K23" s="10"/>
      <c r="L23" s="35"/>
      <c r="M23" s="35"/>
    </row>
    <row r="24" ht="20" customHeight="1" spans="1:13">
      <c r="A24" s="87">
        <v>45780</v>
      </c>
      <c r="B24" s="10">
        <v>20</v>
      </c>
      <c r="C24" s="32" t="s">
        <v>13</v>
      </c>
      <c r="D24" s="32" t="s">
        <v>20</v>
      </c>
      <c r="E24" s="10" t="s">
        <v>111</v>
      </c>
      <c r="F24" s="34"/>
      <c r="G24" s="34">
        <v>14.6</v>
      </c>
      <c r="H24" s="34">
        <f t="shared" si="0"/>
        <v>14.6</v>
      </c>
      <c r="I24" s="10"/>
      <c r="J24" s="37"/>
      <c r="K24" s="10"/>
      <c r="L24" s="35"/>
      <c r="M24" s="35"/>
    </row>
    <row r="25" ht="20" customHeight="1" spans="1:13">
      <c r="A25" s="87">
        <v>45780</v>
      </c>
      <c r="B25" s="10">
        <v>21</v>
      </c>
      <c r="C25" s="32" t="s">
        <v>13</v>
      </c>
      <c r="D25" s="32" t="s">
        <v>20</v>
      </c>
      <c r="E25" s="10" t="s">
        <v>110</v>
      </c>
      <c r="F25" s="34"/>
      <c r="G25" s="34">
        <v>15.2</v>
      </c>
      <c r="H25" s="34">
        <f t="shared" si="0"/>
        <v>15.2</v>
      </c>
      <c r="I25" s="10"/>
      <c r="J25" s="37"/>
      <c r="K25" s="10"/>
      <c r="L25" s="35"/>
      <c r="M25" s="35"/>
    </row>
    <row r="26" ht="20" customHeight="1" spans="1:13">
      <c r="A26" s="87">
        <v>45780</v>
      </c>
      <c r="B26" s="10">
        <v>22</v>
      </c>
      <c r="C26" s="32" t="s">
        <v>13</v>
      </c>
      <c r="D26" s="32" t="s">
        <v>20</v>
      </c>
      <c r="E26" s="10" t="s">
        <v>111</v>
      </c>
      <c r="F26" s="34"/>
      <c r="G26" s="34">
        <v>20</v>
      </c>
      <c r="H26" s="34">
        <f t="shared" si="0"/>
        <v>20</v>
      </c>
      <c r="I26" s="10"/>
      <c r="J26" s="37"/>
      <c r="K26" s="10"/>
      <c r="L26" s="35"/>
      <c r="M26" s="35"/>
    </row>
    <row r="27" ht="20" customHeight="1" spans="1:13">
      <c r="A27" s="87">
        <v>45781</v>
      </c>
      <c r="B27" s="10">
        <v>23</v>
      </c>
      <c r="C27" s="32" t="s">
        <v>13</v>
      </c>
      <c r="D27" s="32" t="s">
        <v>20</v>
      </c>
      <c r="E27" s="10" t="s">
        <v>110</v>
      </c>
      <c r="F27" s="34"/>
      <c r="G27" s="34">
        <v>17.83</v>
      </c>
      <c r="H27" s="34">
        <f t="shared" si="0"/>
        <v>17.83</v>
      </c>
      <c r="I27" s="10"/>
      <c r="J27" s="37"/>
      <c r="K27" s="10"/>
      <c r="L27" s="35"/>
      <c r="M27" s="35"/>
    </row>
    <row r="28" ht="20" customHeight="1" spans="1:13">
      <c r="A28" s="87">
        <v>45781</v>
      </c>
      <c r="B28" s="10">
        <v>24</v>
      </c>
      <c r="C28" s="32" t="s">
        <v>13</v>
      </c>
      <c r="D28" s="32" t="s">
        <v>20</v>
      </c>
      <c r="E28" s="10" t="s">
        <v>111</v>
      </c>
      <c r="F28" s="34"/>
      <c r="G28" s="34">
        <v>14.2</v>
      </c>
      <c r="H28" s="34">
        <f t="shared" si="0"/>
        <v>14.2</v>
      </c>
      <c r="I28" s="10"/>
      <c r="J28" s="37"/>
      <c r="K28" s="10"/>
      <c r="L28" s="35"/>
      <c r="M28" s="35"/>
    </row>
    <row r="29" ht="20" customHeight="1" spans="1:13">
      <c r="A29" s="87">
        <v>45782</v>
      </c>
      <c r="B29" s="10">
        <v>25</v>
      </c>
      <c r="C29" s="32" t="s">
        <v>13</v>
      </c>
      <c r="D29" s="32" t="s">
        <v>20</v>
      </c>
      <c r="E29" s="10" t="s">
        <v>110</v>
      </c>
      <c r="F29" s="34"/>
      <c r="G29" s="34">
        <v>13.13</v>
      </c>
      <c r="H29" s="34">
        <f t="shared" si="0"/>
        <v>13.13</v>
      </c>
      <c r="I29" s="10"/>
      <c r="J29" s="37"/>
      <c r="K29" s="10"/>
      <c r="L29" s="35"/>
      <c r="M29" s="35"/>
    </row>
    <row r="30" ht="20" customHeight="1" spans="1:13">
      <c r="A30" s="87">
        <v>45782</v>
      </c>
      <c r="B30" s="10">
        <v>26</v>
      </c>
      <c r="C30" s="32" t="s">
        <v>13</v>
      </c>
      <c r="D30" s="32" t="s">
        <v>20</v>
      </c>
      <c r="E30" s="10" t="s">
        <v>111</v>
      </c>
      <c r="F30" s="34"/>
      <c r="G30" s="34">
        <v>12.9</v>
      </c>
      <c r="H30" s="34">
        <f t="shared" si="0"/>
        <v>12.9</v>
      </c>
      <c r="I30" s="10"/>
      <c r="J30" s="37"/>
      <c r="K30" s="10"/>
      <c r="L30" s="35"/>
      <c r="M30" s="35"/>
    </row>
    <row r="31" ht="20" customHeight="1" spans="1:13">
      <c r="A31" s="87">
        <v>45783</v>
      </c>
      <c r="B31" s="10">
        <v>27</v>
      </c>
      <c r="C31" s="32" t="s">
        <v>13</v>
      </c>
      <c r="D31" s="32" t="s">
        <v>20</v>
      </c>
      <c r="E31" s="10" t="s">
        <v>77</v>
      </c>
      <c r="F31" s="34"/>
      <c r="G31" s="34">
        <v>19.2</v>
      </c>
      <c r="H31" s="34">
        <f t="shared" si="0"/>
        <v>19.2</v>
      </c>
      <c r="I31" s="10"/>
      <c r="J31" s="37"/>
      <c r="K31" s="10"/>
      <c r="L31" s="35"/>
      <c r="M31" s="35"/>
    </row>
    <row r="32" ht="20" customHeight="1" spans="1:13">
      <c r="A32" s="87">
        <v>45783</v>
      </c>
      <c r="B32" s="10">
        <v>28</v>
      </c>
      <c r="C32" s="32" t="s">
        <v>13</v>
      </c>
      <c r="D32" s="32" t="s">
        <v>14</v>
      </c>
      <c r="E32" s="10" t="s">
        <v>43</v>
      </c>
      <c r="F32" s="34"/>
      <c r="G32" s="34">
        <v>84.89</v>
      </c>
      <c r="H32" s="34">
        <f t="shared" si="0"/>
        <v>84.89</v>
      </c>
      <c r="I32" s="10"/>
      <c r="J32" s="37"/>
      <c r="K32" s="10"/>
      <c r="L32" s="35"/>
      <c r="M32" s="35"/>
    </row>
    <row r="33" ht="20" customHeight="1" spans="1:13">
      <c r="A33" s="39" t="s">
        <v>28</v>
      </c>
      <c r="B33" s="10">
        <v>29</v>
      </c>
      <c r="C33" s="32" t="s">
        <v>17</v>
      </c>
      <c r="D33" s="32" t="s">
        <v>114</v>
      </c>
      <c r="E33" s="10" t="s">
        <v>42</v>
      </c>
      <c r="F33" s="34">
        <v>950</v>
      </c>
      <c r="G33" s="34"/>
      <c r="H33" s="34">
        <f t="shared" si="0"/>
        <v>950</v>
      </c>
      <c r="I33" s="10"/>
      <c r="J33" s="37"/>
      <c r="K33" s="10"/>
      <c r="L33" s="35"/>
      <c r="M33" s="35"/>
    </row>
    <row r="34" ht="20" customHeight="1" spans="1:13">
      <c r="A34" s="39" t="s">
        <v>28</v>
      </c>
      <c r="B34" s="10">
        <v>30</v>
      </c>
      <c r="C34" s="32" t="s">
        <v>51</v>
      </c>
      <c r="D34" s="32" t="s">
        <v>24</v>
      </c>
      <c r="E34" s="86" t="s">
        <v>115</v>
      </c>
      <c r="F34" s="34">
        <v>0</v>
      </c>
      <c r="G34" s="34">
        <f>50*13-40</f>
        <v>610</v>
      </c>
      <c r="H34" s="34">
        <f t="shared" si="0"/>
        <v>610</v>
      </c>
      <c r="I34" s="10"/>
      <c r="J34" s="37" t="s">
        <v>116</v>
      </c>
      <c r="K34" s="10"/>
      <c r="L34" s="35"/>
      <c r="M34" s="35"/>
    </row>
    <row r="35" ht="20" customHeight="1" spans="1:13">
      <c r="A35" s="39" t="s">
        <v>28</v>
      </c>
      <c r="B35" s="10">
        <v>31</v>
      </c>
      <c r="C35" s="32" t="s">
        <v>54</v>
      </c>
      <c r="D35" s="32" t="s">
        <v>84</v>
      </c>
      <c r="E35" s="10" t="s">
        <v>115</v>
      </c>
      <c r="F35" s="34">
        <v>0</v>
      </c>
      <c r="G35" s="34">
        <f>13*150</f>
        <v>1950</v>
      </c>
      <c r="H35" s="34">
        <f t="shared" si="0"/>
        <v>1950</v>
      </c>
      <c r="I35" s="10"/>
      <c r="J35" s="37"/>
      <c r="K35" s="10"/>
      <c r="L35" s="35"/>
      <c r="M35" s="35"/>
    </row>
    <row r="36" ht="19" customHeight="1" spans="1:13">
      <c r="A36" s="75" t="s">
        <v>56</v>
      </c>
      <c r="B36" s="75"/>
      <c r="C36" s="75"/>
      <c r="D36" s="75"/>
      <c r="E36" s="75"/>
      <c r="F36" s="81">
        <f t="shared" ref="F36:H36" si="1">SUM(F5:F35)</f>
        <v>4734</v>
      </c>
      <c r="G36" s="81">
        <f t="shared" si="1"/>
        <v>3209.62</v>
      </c>
      <c r="H36" s="82">
        <f t="shared" si="1"/>
        <v>7943.62</v>
      </c>
      <c r="I36" s="75"/>
      <c r="J36" s="83"/>
      <c r="K36" s="84"/>
      <c r="L36" s="85"/>
      <c r="M36" s="85"/>
    </row>
    <row r="37" spans="1:13">
      <c r="A37" s="48"/>
      <c r="B37" s="49"/>
      <c r="C37" s="49"/>
      <c r="D37" s="49"/>
      <c r="E37" s="49"/>
      <c r="F37" s="49"/>
      <c r="G37" s="50"/>
      <c r="H37" s="50"/>
      <c r="I37" s="49"/>
      <c r="J37" s="51"/>
      <c r="K37" s="49"/>
      <c r="L37" s="49"/>
      <c r="M37" s="49"/>
    </row>
    <row r="38" spans="1:13">
      <c r="A38" s="53" t="s">
        <v>57</v>
      </c>
      <c r="B38" s="32" t="s">
        <v>23</v>
      </c>
      <c r="C38" s="54">
        <f>SUMIF($C$5:C35,B38,$G$5:G35)</f>
        <v>0</v>
      </c>
      <c r="E38" s="10" t="s">
        <v>3</v>
      </c>
      <c r="F38" s="10" t="s">
        <v>6</v>
      </c>
      <c r="G38" s="55" t="s">
        <v>58</v>
      </c>
      <c r="I38" s="50" t="s">
        <v>59</v>
      </c>
      <c r="J38" s="50"/>
    </row>
    <row r="39" spans="1:13">
      <c r="A39" s="56"/>
      <c r="B39" s="32" t="s">
        <v>17</v>
      </c>
      <c r="C39" s="54">
        <f>SUMIF($C$5:C35,B39,$G$5:G35)</f>
        <v>0</v>
      </c>
      <c r="D39" s="57"/>
      <c r="E39" s="10" t="s">
        <v>60</v>
      </c>
      <c r="F39" s="58">
        <v>0</v>
      </c>
      <c r="G39" s="58">
        <f t="shared" ref="G39:G44" si="2">F39</f>
        <v>0</v>
      </c>
      <c r="I39" s="50"/>
      <c r="J39" s="50"/>
    </row>
    <row r="40" spans="1:13">
      <c r="A40" s="56"/>
      <c r="B40" s="32" t="s">
        <v>13</v>
      </c>
      <c r="C40" s="54">
        <f>SUMIF($C$5:C35,B40,$G$5:G35)</f>
        <v>649.62</v>
      </c>
      <c r="D40" s="57"/>
      <c r="E40" s="10" t="s">
        <v>61</v>
      </c>
      <c r="F40" s="58">
        <f>$F$36</f>
        <v>4734</v>
      </c>
      <c r="G40" s="58">
        <f>F40+F41</f>
        <v>4734</v>
      </c>
      <c r="I40" s="50"/>
      <c r="J40" s="50"/>
    </row>
    <row r="41" spans="1:13">
      <c r="A41" s="56"/>
      <c r="B41" s="32" t="s">
        <v>62</v>
      </c>
      <c r="C41" s="54">
        <f>SUMIF($C$5:C35,B41,$G$5:G35)</f>
        <v>0</v>
      </c>
      <c r="D41" s="57"/>
      <c r="E41" s="10" t="s">
        <v>63</v>
      </c>
      <c r="F41" s="58">
        <v>0</v>
      </c>
      <c r="G41" s="58"/>
    </row>
    <row r="42" spans="1:13">
      <c r="A42" s="56"/>
      <c r="B42" s="32" t="s">
        <v>51</v>
      </c>
      <c r="C42" s="54">
        <f>SUMIF($C$5:C35,B42,$G$5:G35)</f>
        <v>610</v>
      </c>
      <c r="D42" s="57"/>
      <c r="E42" s="10" t="s">
        <v>64</v>
      </c>
      <c r="F42" s="58">
        <f>$G$36</f>
        <v>3209.62</v>
      </c>
      <c r="G42" s="58">
        <f t="shared" si="2"/>
        <v>3209.62</v>
      </c>
    </row>
    <row r="43" spans="1:13">
      <c r="A43" s="56"/>
      <c r="B43" s="32" t="s">
        <v>54</v>
      </c>
      <c r="C43" s="54">
        <f>SUMIF($C$5:C35,B43,$G$5:G35)</f>
        <v>1950</v>
      </c>
      <c r="D43" s="57"/>
      <c r="E43" s="10" t="s">
        <v>65</v>
      </c>
      <c r="F43" s="58">
        <v>0</v>
      </c>
      <c r="G43" s="58">
        <v>0</v>
      </c>
    </row>
    <row r="44" spans="1:13">
      <c r="A44" s="60"/>
      <c r="B44" s="6" t="s">
        <v>56</v>
      </c>
      <c r="C44" s="6">
        <f>SUM(C38:C43)</f>
        <v>3209.62</v>
      </c>
      <c r="D44" s="57"/>
      <c r="E44" s="10" t="s">
        <v>66</v>
      </c>
      <c r="F44" s="58">
        <f>G36-F39</f>
        <v>3209.62</v>
      </c>
      <c r="G44" s="58">
        <f t="shared" si="2"/>
        <v>3209.62</v>
      </c>
    </row>
    <row r="45" spans="1:13">
      <c r="D45" s="3"/>
    </row>
    <row r="46" spans="1:13">
      <c r="A46" s="61" t="s">
        <v>58</v>
      </c>
      <c r="B46" s="32" t="s">
        <v>23</v>
      </c>
      <c r="C46" s="59">
        <f t="shared" ref="C46:C51" si="3">SUMIF($C$5:$C$35,B46,$H$5:$H$35)</f>
        <v>2624</v>
      </c>
    </row>
    <row r="47" spans="1:13">
      <c r="A47" s="62"/>
      <c r="B47" s="32" t="s">
        <v>17</v>
      </c>
      <c r="C47" s="59">
        <f t="shared" si="3"/>
        <v>2110</v>
      </c>
    </row>
    <row r="48" spans="1:13">
      <c r="A48" s="62"/>
      <c r="B48" s="32" t="s">
        <v>13</v>
      </c>
      <c r="C48" s="59">
        <f t="shared" si="3"/>
        <v>649.62</v>
      </c>
    </row>
    <row r="49" spans="1:3">
      <c r="A49" s="62"/>
      <c r="B49" s="32" t="s">
        <v>62</v>
      </c>
      <c r="C49" s="59">
        <f t="shared" si="3"/>
        <v>0</v>
      </c>
    </row>
    <row r="50" spans="1:3">
      <c r="A50" s="62"/>
      <c r="B50" s="32" t="s">
        <v>51</v>
      </c>
      <c r="C50" s="59">
        <f t="shared" si="3"/>
        <v>610</v>
      </c>
    </row>
    <row r="51" spans="1:3">
      <c r="A51" s="62"/>
      <c r="B51" s="32" t="s">
        <v>54</v>
      </c>
      <c r="C51" s="59">
        <f t="shared" si="3"/>
        <v>1950</v>
      </c>
    </row>
    <row r="52" spans="1:3">
      <c r="A52" s="63"/>
      <c r="B52" s="6" t="s">
        <v>56</v>
      </c>
      <c r="C52" s="6">
        <f>SUM(C46:C51)</f>
        <v>7943.62</v>
      </c>
    </row>
  </sheetData>
  <autoFilter xmlns:etc="http://www.wps.cn/officeDocument/2017/etCustomData" ref="A4:M36" etc:filterBottomFollowUsedRange="0">
    <extLst/>
  </autoFilter>
  <mergeCells count="15">
    <mergeCell ref="F3:H3"/>
    <mergeCell ref="A36:E36"/>
    <mergeCell ref="A3:A4"/>
    <mergeCell ref="A38:A44"/>
    <mergeCell ref="A46:A52"/>
    <mergeCell ref="B3:B4"/>
    <mergeCell ref="C3:C4"/>
    <mergeCell ref="D3:D4"/>
    <mergeCell ref="E3:E4"/>
    <mergeCell ref="G40:G41"/>
    <mergeCell ref="I3:I4"/>
    <mergeCell ref="J3:J4"/>
    <mergeCell ref="A1:M2"/>
    <mergeCell ref="K3:M4"/>
    <mergeCell ref="I38:J40"/>
  </mergeCells>
  <dataValidations count="1">
    <dataValidation type="list" allowBlank="1" showInputMessage="1" showErrorMessage="1" sqref="C5:C35">
      <formula1>$B$38:$B$43</formula1>
    </dataValidation>
  </dataValidations>
  <printOptions horizontalCentered="1"/>
  <pageMargins left="0.2" right="0.180555555555556" top="0.16875" bottom="0.207638888888889" header="0.16875" footer="0.16875"/>
  <pageSetup paperSize="9" scale="57" orientation="landscape" horizontalDpi="6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4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G21" sqref="G21"/>
    </sheetView>
  </sheetViews>
  <sheetFormatPr defaultColWidth="9" defaultRowHeight="16.8"/>
  <cols>
    <col min="1" max="1" width="11.625" style="12" customWidth="1"/>
    <col min="2" max="2" width="10.4615384615385" style="12" customWidth="1"/>
    <col min="3" max="3" width="15.6923076923077" style="12" customWidth="1"/>
    <col min="4" max="4" width="25.4711538461538" style="12" customWidth="1"/>
    <col min="5" max="5" width="18.7692307692308" style="12" customWidth="1"/>
    <col min="6" max="6" width="15.6923076923077" style="12" customWidth="1"/>
    <col min="7" max="8" width="15.6923076923077" style="13" customWidth="1"/>
    <col min="9" max="9" width="15.6923076923077" style="12" customWidth="1"/>
    <col min="10" max="10" width="59.7692307692308" style="14" customWidth="1"/>
    <col min="11" max="11" width="7.375" style="3" customWidth="1"/>
    <col min="12" max="13" width="7.375" style="12" customWidth="1"/>
    <col min="14" max="16384" width="9.06730769230769" style="12"/>
  </cols>
  <sheetData>
    <row r="1" spans="1:13">
      <c r="A1" s="64" t="s">
        <v>117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ht="19" customHeight="1" spans="1:13">
      <c r="A3" s="65" t="s">
        <v>1</v>
      </c>
      <c r="B3" s="65" t="s">
        <v>2</v>
      </c>
      <c r="C3" s="65" t="s">
        <v>3</v>
      </c>
      <c r="D3" s="66" t="s">
        <v>4</v>
      </c>
      <c r="E3" s="65" t="s">
        <v>5</v>
      </c>
      <c r="F3" s="67" t="s">
        <v>6</v>
      </c>
      <c r="G3" s="68"/>
      <c r="H3" s="69"/>
      <c r="I3" s="65" t="s">
        <v>7</v>
      </c>
      <c r="J3" s="66" t="s">
        <v>8</v>
      </c>
      <c r="K3" s="70" t="s">
        <v>9</v>
      </c>
      <c r="L3" s="71"/>
      <c r="M3" s="72"/>
    </row>
    <row r="4" ht="19" customHeight="1" spans="1:13">
      <c r="A4" s="73"/>
      <c r="B4" s="73"/>
      <c r="C4" s="73"/>
      <c r="D4" s="74"/>
      <c r="E4" s="73"/>
      <c r="F4" s="75" t="s">
        <v>10</v>
      </c>
      <c r="G4" s="76" t="s">
        <v>11</v>
      </c>
      <c r="H4" s="76" t="s">
        <v>12</v>
      </c>
      <c r="I4" s="73"/>
      <c r="J4" s="74"/>
      <c r="K4" s="77"/>
      <c r="L4" s="78"/>
      <c r="M4" s="79"/>
    </row>
    <row r="5" ht="30" customHeight="1" spans="1:13">
      <c r="A5" s="80">
        <v>45603</v>
      </c>
      <c r="B5" s="10">
        <v>1</v>
      </c>
      <c r="C5" s="32" t="s">
        <v>17</v>
      </c>
      <c r="D5" s="32" t="s">
        <v>18</v>
      </c>
      <c r="E5" s="10" t="s">
        <v>118</v>
      </c>
      <c r="F5" s="34">
        <v>1390</v>
      </c>
      <c r="G5" s="34">
        <v>0</v>
      </c>
      <c r="H5" s="34">
        <f t="shared" ref="H5:H16" si="0">SUM(F5:G5)</f>
        <v>1390</v>
      </c>
      <c r="I5" s="10"/>
      <c r="J5" s="37"/>
      <c r="K5" s="10"/>
      <c r="L5" s="35"/>
      <c r="M5" s="35"/>
    </row>
    <row r="6" ht="30" customHeight="1" spans="1:13">
      <c r="A6" s="80">
        <v>45603</v>
      </c>
      <c r="B6" s="10">
        <v>2</v>
      </c>
      <c r="C6" s="32" t="s">
        <v>17</v>
      </c>
      <c r="D6" s="32" t="s">
        <v>18</v>
      </c>
      <c r="E6" s="10" t="s">
        <v>118</v>
      </c>
      <c r="F6" s="34">
        <v>794</v>
      </c>
      <c r="G6" s="34">
        <v>0</v>
      </c>
      <c r="H6" s="34">
        <f t="shared" si="0"/>
        <v>794</v>
      </c>
      <c r="I6" s="10"/>
      <c r="J6" s="37" t="s">
        <v>119</v>
      </c>
      <c r="K6" s="10"/>
      <c r="L6" s="35"/>
      <c r="M6" s="35"/>
    </row>
    <row r="7" ht="30" customHeight="1" spans="1:13">
      <c r="A7" s="80">
        <v>45603</v>
      </c>
      <c r="B7" s="10">
        <v>3</v>
      </c>
      <c r="C7" s="32" t="s">
        <v>13</v>
      </c>
      <c r="D7" s="32" t="s">
        <v>14</v>
      </c>
      <c r="E7" s="10" t="s">
        <v>15</v>
      </c>
      <c r="F7" s="34">
        <v>0</v>
      </c>
      <c r="G7" s="34">
        <v>76.95</v>
      </c>
      <c r="H7" s="34">
        <f t="shared" si="0"/>
        <v>76.95</v>
      </c>
      <c r="I7" s="10"/>
      <c r="J7" s="37" t="s">
        <v>120</v>
      </c>
      <c r="K7" s="10"/>
      <c r="L7" s="35"/>
      <c r="M7" s="35"/>
    </row>
    <row r="8" ht="30" customHeight="1" spans="1:13">
      <c r="A8" s="80">
        <v>45603</v>
      </c>
      <c r="B8" s="10">
        <v>4</v>
      </c>
      <c r="C8" s="32" t="s">
        <v>13</v>
      </c>
      <c r="D8" s="32" t="s">
        <v>121</v>
      </c>
      <c r="E8" s="10" t="s">
        <v>71</v>
      </c>
      <c r="F8" s="34">
        <v>0</v>
      </c>
      <c r="G8" s="34">
        <v>108.84</v>
      </c>
      <c r="H8" s="34">
        <f t="shared" si="0"/>
        <v>108.84</v>
      </c>
      <c r="I8" s="10"/>
      <c r="J8" s="37" t="s">
        <v>120</v>
      </c>
      <c r="K8" s="10"/>
      <c r="L8" s="35"/>
      <c r="M8" s="35"/>
    </row>
    <row r="9" ht="30" customHeight="1" spans="1:13">
      <c r="A9" s="80">
        <v>45609</v>
      </c>
      <c r="B9" s="10">
        <v>5</v>
      </c>
      <c r="C9" s="32" t="s">
        <v>13</v>
      </c>
      <c r="D9" s="32" t="s">
        <v>121</v>
      </c>
      <c r="E9" s="10" t="s">
        <v>122</v>
      </c>
      <c r="F9" s="34">
        <v>0</v>
      </c>
      <c r="G9" s="34">
        <v>31.93</v>
      </c>
      <c r="H9" s="34">
        <f t="shared" si="0"/>
        <v>31.93</v>
      </c>
      <c r="I9" s="10"/>
      <c r="J9" s="37" t="s">
        <v>123</v>
      </c>
      <c r="K9" s="10"/>
      <c r="L9" s="35"/>
      <c r="M9" s="35"/>
    </row>
    <row r="10" ht="30" customHeight="1" spans="1:13">
      <c r="A10" s="80">
        <v>45609</v>
      </c>
      <c r="B10" s="10">
        <v>6</v>
      </c>
      <c r="C10" s="32" t="s">
        <v>13</v>
      </c>
      <c r="D10" s="32" t="s">
        <v>121</v>
      </c>
      <c r="E10" s="10" t="s">
        <v>124</v>
      </c>
      <c r="F10" s="34">
        <v>0</v>
      </c>
      <c r="G10" s="34">
        <v>48.95</v>
      </c>
      <c r="H10" s="34">
        <f t="shared" si="0"/>
        <v>48.95</v>
      </c>
      <c r="I10" s="10"/>
      <c r="J10" s="37" t="s">
        <v>123</v>
      </c>
      <c r="K10" s="10"/>
      <c r="L10" s="35"/>
      <c r="M10" s="35"/>
    </row>
    <row r="11" ht="30" customHeight="1" spans="1:13">
      <c r="A11" s="80">
        <v>45612</v>
      </c>
      <c r="B11" s="10">
        <v>7</v>
      </c>
      <c r="C11" s="32" t="s">
        <v>13</v>
      </c>
      <c r="D11" s="32" t="s">
        <v>121</v>
      </c>
      <c r="E11" s="10" t="s">
        <v>125</v>
      </c>
      <c r="F11" s="34">
        <v>0</v>
      </c>
      <c r="G11" s="34">
        <v>15.79</v>
      </c>
      <c r="H11" s="34">
        <f t="shared" si="0"/>
        <v>15.79</v>
      </c>
      <c r="I11" s="10"/>
      <c r="J11" s="37"/>
      <c r="K11" s="10"/>
      <c r="L11" s="35"/>
      <c r="M11" s="35"/>
    </row>
    <row r="12" ht="30" customHeight="1" spans="1:13">
      <c r="A12" s="80">
        <v>45612</v>
      </c>
      <c r="B12" s="10">
        <v>8</v>
      </c>
      <c r="C12" s="32" t="s">
        <v>13</v>
      </c>
      <c r="D12" s="32" t="s">
        <v>14</v>
      </c>
      <c r="E12" s="10" t="s">
        <v>43</v>
      </c>
      <c r="F12" s="34">
        <v>0</v>
      </c>
      <c r="G12" s="34">
        <v>150</v>
      </c>
      <c r="H12" s="34">
        <f t="shared" si="0"/>
        <v>150</v>
      </c>
      <c r="I12" s="10"/>
      <c r="J12" s="37" t="s">
        <v>126</v>
      </c>
      <c r="K12" s="10"/>
      <c r="L12" s="35"/>
      <c r="M12" s="35"/>
    </row>
    <row r="13" ht="30" customHeight="1" spans="1:13">
      <c r="A13" s="80">
        <v>45612</v>
      </c>
      <c r="B13" s="10">
        <v>9</v>
      </c>
      <c r="C13" s="32" t="s">
        <v>17</v>
      </c>
      <c r="D13" s="32" t="s">
        <v>127</v>
      </c>
      <c r="E13" s="10" t="s">
        <v>128</v>
      </c>
      <c r="F13" s="34">
        <v>1470</v>
      </c>
      <c r="G13" s="34">
        <v>0</v>
      </c>
      <c r="H13" s="34">
        <f t="shared" si="0"/>
        <v>1470</v>
      </c>
      <c r="I13" s="10"/>
      <c r="J13" s="37"/>
      <c r="K13" s="10"/>
      <c r="L13" s="35"/>
      <c r="M13" s="35"/>
    </row>
    <row r="14" ht="30" customHeight="1" spans="1:13">
      <c r="A14" s="39" t="s">
        <v>28</v>
      </c>
      <c r="B14" s="10">
        <v>11</v>
      </c>
      <c r="C14" s="32" t="s">
        <v>51</v>
      </c>
      <c r="D14" s="32" t="s">
        <v>129</v>
      </c>
      <c r="E14" s="86" t="s">
        <v>130</v>
      </c>
      <c r="F14" s="34">
        <v>0</v>
      </c>
      <c r="G14" s="34">
        <f>10*60-20*4</f>
        <v>520</v>
      </c>
      <c r="H14" s="34">
        <f t="shared" si="0"/>
        <v>520</v>
      </c>
      <c r="I14" s="10"/>
      <c r="J14" s="37" t="s">
        <v>131</v>
      </c>
      <c r="K14" s="10"/>
      <c r="L14" s="35"/>
      <c r="M14" s="35"/>
    </row>
    <row r="15" ht="30" customHeight="1" spans="1:13">
      <c r="A15" s="39" t="s">
        <v>28</v>
      </c>
      <c r="B15" s="10">
        <v>12</v>
      </c>
      <c r="C15" s="32" t="s">
        <v>54</v>
      </c>
      <c r="D15" s="32" t="s">
        <v>84</v>
      </c>
      <c r="E15" s="10" t="s">
        <v>130</v>
      </c>
      <c r="F15" s="34">
        <v>0</v>
      </c>
      <c r="G15" s="34">
        <f>10*100</f>
        <v>1000</v>
      </c>
      <c r="H15" s="34">
        <f t="shared" si="0"/>
        <v>1000</v>
      </c>
      <c r="I15" s="10"/>
      <c r="J15" s="37"/>
      <c r="K15" s="10"/>
      <c r="L15" s="35"/>
      <c r="M15" s="35"/>
    </row>
    <row r="16" ht="19" customHeight="1" spans="1:13">
      <c r="A16" s="75" t="s">
        <v>56</v>
      </c>
      <c r="B16" s="75"/>
      <c r="C16" s="75"/>
      <c r="D16" s="75"/>
      <c r="E16" s="75"/>
      <c r="F16" s="81">
        <f>SUM(F5:F15)</f>
        <v>3654</v>
      </c>
      <c r="G16" s="81">
        <f>SUM(G5:G15)</f>
        <v>1952.46</v>
      </c>
      <c r="H16" s="82">
        <f>SUM(H5:H15)</f>
        <v>5606.46</v>
      </c>
      <c r="I16" s="75"/>
      <c r="J16" s="83"/>
      <c r="K16" s="84"/>
      <c r="L16" s="85"/>
      <c r="M16" s="85"/>
    </row>
    <row r="17" spans="1:13">
      <c r="A17" s="48"/>
      <c r="B17" s="49"/>
      <c r="C17" s="49"/>
      <c r="D17" s="49"/>
      <c r="E17" s="49"/>
      <c r="F17" s="49"/>
      <c r="G17" s="50"/>
      <c r="H17" s="50"/>
      <c r="I17" s="49"/>
      <c r="J17" s="51"/>
      <c r="K17" s="49"/>
      <c r="L17" s="49"/>
      <c r="M17" s="49"/>
    </row>
    <row r="18" ht="40" customHeight="1" spans="1:13">
      <c r="A18" s="52"/>
      <c r="B18" s="52"/>
      <c r="C18" s="52"/>
      <c r="D18" s="52"/>
      <c r="E18" s="52"/>
      <c r="F18" s="52"/>
      <c r="G18" s="13" t="s">
        <v>59</v>
      </c>
    </row>
    <row r="19" spans="1:13">
      <c r="A19" s="52"/>
      <c r="B19" s="52"/>
      <c r="C19" s="52"/>
      <c r="D19" s="52"/>
      <c r="E19" s="52"/>
      <c r="F19" s="52"/>
    </row>
    <row r="20" spans="1:13">
      <c r="A20" s="53" t="s">
        <v>57</v>
      </c>
      <c r="B20" s="32" t="s">
        <v>23</v>
      </c>
      <c r="C20" s="54">
        <f>SUMIF($C$5:C15,B20,$G$5:G15)</f>
        <v>0</v>
      </c>
      <c r="E20" s="10" t="s">
        <v>3</v>
      </c>
      <c r="F20" s="10" t="s">
        <v>6</v>
      </c>
      <c r="G20" s="55" t="s">
        <v>58</v>
      </c>
    </row>
    <row r="21" spans="1:13">
      <c r="A21" s="56"/>
      <c r="B21" s="32" t="s">
        <v>17</v>
      </c>
      <c r="C21" s="54">
        <f>SUMIF($C$5:C15,B21,$G$5:G15)</f>
        <v>0</v>
      </c>
      <c r="D21" s="57"/>
      <c r="E21" s="10" t="s">
        <v>60</v>
      </c>
      <c r="F21" s="58">
        <v>0</v>
      </c>
      <c r="G21" s="58">
        <f t="shared" ref="G21:G25" si="1">F21</f>
        <v>0</v>
      </c>
    </row>
    <row r="22" spans="1:13">
      <c r="A22" s="56"/>
      <c r="B22" s="32" t="s">
        <v>13</v>
      </c>
      <c r="C22" s="54">
        <f>SUMIF($C$5:C15,B22,$G$5:G15)</f>
        <v>432.46</v>
      </c>
      <c r="D22" s="57"/>
      <c r="E22" s="10" t="s">
        <v>61</v>
      </c>
      <c r="F22" s="58">
        <f>$F$16</f>
        <v>3654</v>
      </c>
      <c r="G22" s="58">
        <f>F22+F23</f>
        <v>3654</v>
      </c>
    </row>
    <row r="23" spans="1:13">
      <c r="A23" s="56"/>
      <c r="B23" s="32" t="s">
        <v>62</v>
      </c>
      <c r="C23" s="54">
        <f>SUMIF($C$5:C15,B23,$G$5:G15)</f>
        <v>0</v>
      </c>
      <c r="D23" s="57"/>
      <c r="E23" s="10" t="s">
        <v>63</v>
      </c>
      <c r="F23" s="58">
        <v>0</v>
      </c>
      <c r="G23" s="58"/>
    </row>
    <row r="24" spans="1:13">
      <c r="A24" s="56"/>
      <c r="B24" s="32" t="s">
        <v>51</v>
      </c>
      <c r="C24" s="54">
        <f>SUMIF($C$5:C15,B24,$G$5:G15)</f>
        <v>520</v>
      </c>
      <c r="D24" s="57"/>
      <c r="E24" s="10" t="s">
        <v>64</v>
      </c>
      <c r="F24" s="58">
        <f>$G$16</f>
        <v>1952.46</v>
      </c>
      <c r="G24" s="58">
        <f t="shared" si="1"/>
        <v>1952.46</v>
      </c>
    </row>
    <row r="25" spans="1:13">
      <c r="A25" s="56"/>
      <c r="B25" s="32" t="s">
        <v>54</v>
      </c>
      <c r="C25" s="54">
        <f>SUMIF($C$5:C15,B25,$G$5:G15)</f>
        <v>1000</v>
      </c>
      <c r="D25" s="57"/>
      <c r="E25" s="10" t="s">
        <v>65</v>
      </c>
      <c r="F25" s="58">
        <v>0</v>
      </c>
      <c r="G25" s="58">
        <v>0</v>
      </c>
    </row>
    <row r="26" spans="1:13">
      <c r="A26" s="60"/>
      <c r="B26" s="6" t="s">
        <v>56</v>
      </c>
      <c r="C26" s="6">
        <f>SUM(C20:C25)</f>
        <v>1952.46</v>
      </c>
      <c r="D26" s="57"/>
      <c r="E26" s="10" t="s">
        <v>66</v>
      </c>
      <c r="F26" s="58">
        <f>G16-F21</f>
        <v>1952.46</v>
      </c>
      <c r="G26" s="58">
        <f>F26</f>
        <v>1952.46</v>
      </c>
    </row>
    <row r="27" spans="1:13">
      <c r="D27" s="3"/>
    </row>
    <row r="28" spans="1:13">
      <c r="A28" s="61" t="s">
        <v>58</v>
      </c>
      <c r="B28" s="32" t="s">
        <v>23</v>
      </c>
      <c r="C28" s="59">
        <f t="shared" ref="C28:C33" si="2">SUMIF($C$5:$C$15,B28,$H$5:$H$15)</f>
        <v>0</v>
      </c>
    </row>
    <row r="29" spans="1:13">
      <c r="A29" s="62"/>
      <c r="B29" s="32" t="s">
        <v>17</v>
      </c>
      <c r="C29" s="59">
        <f t="shared" si="2"/>
        <v>3654</v>
      </c>
    </row>
    <row r="30" spans="1:13">
      <c r="A30" s="62"/>
      <c r="B30" s="32" t="s">
        <v>13</v>
      </c>
      <c r="C30" s="59">
        <f t="shared" si="2"/>
        <v>432.46</v>
      </c>
    </row>
    <row r="31" spans="1:13">
      <c r="A31" s="62"/>
      <c r="B31" s="32" t="s">
        <v>62</v>
      </c>
      <c r="C31" s="59">
        <f t="shared" si="2"/>
        <v>0</v>
      </c>
    </row>
    <row r="32" spans="1:13">
      <c r="A32" s="62"/>
      <c r="B32" s="32" t="s">
        <v>51</v>
      </c>
      <c r="C32" s="59">
        <f t="shared" si="2"/>
        <v>520</v>
      </c>
    </row>
    <row r="33" spans="1:3">
      <c r="A33" s="62"/>
      <c r="B33" s="32" t="s">
        <v>54</v>
      </c>
      <c r="C33" s="59">
        <f t="shared" si="2"/>
        <v>1000</v>
      </c>
    </row>
    <row r="34" spans="1:3">
      <c r="A34" s="63"/>
      <c r="B34" s="6" t="s">
        <v>56</v>
      </c>
      <c r="C34" s="6">
        <f>SUM(C28:C33)</f>
        <v>5606.46</v>
      </c>
    </row>
  </sheetData>
  <autoFilter xmlns:etc="http://www.wps.cn/officeDocument/2017/etCustomData" ref="A4:M16" etc:filterBottomFollowUsedRange="0">
    <extLst/>
  </autoFilter>
  <mergeCells count="15">
    <mergeCell ref="F3:H3"/>
    <mergeCell ref="A16:E16"/>
    <mergeCell ref="A18:E18"/>
    <mergeCell ref="A3:A4"/>
    <mergeCell ref="A20:A26"/>
    <mergeCell ref="A28:A34"/>
    <mergeCell ref="B3:B4"/>
    <mergeCell ref="C3:C4"/>
    <mergeCell ref="D3:D4"/>
    <mergeCell ref="E3:E4"/>
    <mergeCell ref="G22:G23"/>
    <mergeCell ref="I3:I4"/>
    <mergeCell ref="J3:J4"/>
    <mergeCell ref="A1:M2"/>
    <mergeCell ref="K3:M4"/>
  </mergeCells>
  <dataValidations count="1">
    <dataValidation type="list" allowBlank="1" showInputMessage="1" showErrorMessage="1" sqref="C5:C15">
      <formula1>$B$20:$B$25</formula1>
    </dataValidation>
  </dataValidations>
  <printOptions horizontalCentered="1"/>
  <pageMargins left="0.2" right="0.180555555555556" top="0.16875" bottom="0.207638888888889" header="0.16875" footer="0.16875"/>
  <pageSetup paperSize="9" scale="68" orientation="landscape" horizontalDpi="6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5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G21" sqref="G21"/>
    </sheetView>
  </sheetViews>
  <sheetFormatPr defaultColWidth="9" defaultRowHeight="16.8"/>
  <cols>
    <col min="1" max="1" width="11.625" style="12" customWidth="1"/>
    <col min="2" max="2" width="8.00961538461539" style="12" customWidth="1"/>
    <col min="3" max="3" width="15.6923076923077" style="12" customWidth="1"/>
    <col min="4" max="4" width="19.0384615384615" style="12" customWidth="1"/>
    <col min="5" max="5" width="18.7692307692308" style="12" customWidth="1"/>
    <col min="6" max="6" width="15.6923076923077" style="12" customWidth="1"/>
    <col min="7" max="8" width="15.6923076923077" style="13" customWidth="1"/>
    <col min="9" max="9" width="15.6923076923077" style="12" customWidth="1"/>
    <col min="10" max="10" width="59.7692307692308" style="14" customWidth="1"/>
    <col min="11" max="11" width="7.375" style="3" customWidth="1"/>
    <col min="12" max="13" width="7.375" style="12" customWidth="1"/>
    <col min="14" max="16384" width="9.06730769230769" style="12"/>
  </cols>
  <sheetData>
    <row r="1" spans="1:13">
      <c r="A1" s="64" t="s">
        <v>132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ht="19" customHeight="1" spans="1:13">
      <c r="A3" s="65" t="s">
        <v>1</v>
      </c>
      <c r="B3" s="65" t="s">
        <v>2</v>
      </c>
      <c r="C3" s="65" t="s">
        <v>3</v>
      </c>
      <c r="D3" s="66" t="s">
        <v>4</v>
      </c>
      <c r="E3" s="65" t="s">
        <v>5</v>
      </c>
      <c r="F3" s="67" t="s">
        <v>6</v>
      </c>
      <c r="G3" s="68"/>
      <c r="H3" s="69"/>
      <c r="I3" s="65" t="s">
        <v>7</v>
      </c>
      <c r="J3" s="66" t="s">
        <v>8</v>
      </c>
      <c r="K3" s="70" t="s">
        <v>9</v>
      </c>
      <c r="L3" s="71"/>
      <c r="M3" s="72"/>
    </row>
    <row r="4" ht="19" customHeight="1" spans="1:13">
      <c r="A4" s="73"/>
      <c r="B4" s="73"/>
      <c r="C4" s="73"/>
      <c r="D4" s="74"/>
      <c r="E4" s="73"/>
      <c r="F4" s="75" t="s">
        <v>10</v>
      </c>
      <c r="G4" s="76" t="s">
        <v>11</v>
      </c>
      <c r="H4" s="76" t="s">
        <v>12</v>
      </c>
      <c r="I4" s="73"/>
      <c r="J4" s="74"/>
      <c r="K4" s="77"/>
      <c r="L4" s="78"/>
      <c r="M4" s="79"/>
    </row>
    <row r="5" ht="15" customHeight="1" spans="1:13">
      <c r="A5" s="80">
        <v>45563</v>
      </c>
      <c r="B5" s="10">
        <v>1</v>
      </c>
      <c r="C5" s="32" t="s">
        <v>13</v>
      </c>
      <c r="D5" s="32" t="s">
        <v>14</v>
      </c>
      <c r="E5" s="10" t="s">
        <v>133</v>
      </c>
      <c r="F5" s="34">
        <v>0</v>
      </c>
      <c r="G5" s="34">
        <v>57.43</v>
      </c>
      <c r="H5" s="34">
        <f>SUM(F5:G5)</f>
        <v>57.43</v>
      </c>
      <c r="I5" s="10"/>
      <c r="J5" s="37"/>
      <c r="K5" s="10"/>
      <c r="L5" s="35"/>
      <c r="M5" s="35"/>
    </row>
    <row r="6" ht="15" customHeight="1" spans="1:13">
      <c r="A6" s="80">
        <v>45563</v>
      </c>
      <c r="B6" s="10">
        <v>2</v>
      </c>
      <c r="C6" s="32" t="s">
        <v>17</v>
      </c>
      <c r="D6" s="32" t="s">
        <v>86</v>
      </c>
      <c r="E6" s="10" t="s">
        <v>134</v>
      </c>
      <c r="F6" s="34">
        <v>350</v>
      </c>
      <c r="G6" s="34">
        <v>0</v>
      </c>
      <c r="H6" s="34">
        <f>SUM(F6:G6)</f>
        <v>350</v>
      </c>
      <c r="I6" s="10"/>
      <c r="J6" s="37"/>
      <c r="K6" s="10"/>
      <c r="L6" s="35"/>
      <c r="M6" s="35"/>
    </row>
    <row r="7" ht="15" customHeight="1" spans="1:13">
      <c r="A7" s="80">
        <v>45563</v>
      </c>
      <c r="B7" s="10">
        <v>3</v>
      </c>
      <c r="C7" s="32" t="s">
        <v>23</v>
      </c>
      <c r="D7" s="32" t="s">
        <v>135</v>
      </c>
      <c r="E7" s="10" t="s">
        <v>136</v>
      </c>
      <c r="F7" s="34">
        <v>1613</v>
      </c>
      <c r="G7" s="34">
        <v>0</v>
      </c>
      <c r="H7" s="34">
        <f>SUM(F7:G7)</f>
        <v>1613</v>
      </c>
      <c r="I7" s="10"/>
      <c r="J7" s="37"/>
      <c r="K7" s="10"/>
      <c r="L7" s="35"/>
      <c r="M7" s="35"/>
    </row>
    <row r="8" ht="15" customHeight="1" spans="1:13">
      <c r="A8" s="80">
        <v>45563</v>
      </c>
      <c r="B8" s="10">
        <v>4</v>
      </c>
      <c r="C8" s="32" t="s">
        <v>13</v>
      </c>
      <c r="D8" s="32" t="s">
        <v>137</v>
      </c>
      <c r="E8" s="10" t="s">
        <v>90</v>
      </c>
      <c r="F8" s="34">
        <v>0</v>
      </c>
      <c r="G8" s="34">
        <v>40.94</v>
      </c>
      <c r="H8" s="34">
        <f>SUM(F8:G8)</f>
        <v>40.94</v>
      </c>
      <c r="I8" s="10"/>
      <c r="J8" s="37"/>
      <c r="K8" s="10"/>
      <c r="L8" s="35"/>
      <c r="M8" s="35"/>
    </row>
    <row r="9" ht="15" customHeight="1" spans="1:13">
      <c r="A9" s="80">
        <v>45563</v>
      </c>
      <c r="B9" s="10">
        <v>5</v>
      </c>
      <c r="C9" s="32" t="s">
        <v>13</v>
      </c>
      <c r="D9" s="32" t="s">
        <v>137</v>
      </c>
      <c r="E9" s="10" t="s">
        <v>91</v>
      </c>
      <c r="F9" s="34">
        <v>0</v>
      </c>
      <c r="G9" s="34">
        <v>30.49</v>
      </c>
      <c r="H9" s="34">
        <f>SUM(F9:G9)</f>
        <v>30.49</v>
      </c>
      <c r="I9" s="10"/>
      <c r="J9" s="37"/>
      <c r="K9" s="10"/>
      <c r="L9" s="35"/>
      <c r="M9" s="35"/>
    </row>
    <row r="10" ht="15" customHeight="1" spans="1:13">
      <c r="A10" s="80">
        <v>45563</v>
      </c>
      <c r="B10" s="10">
        <v>6</v>
      </c>
      <c r="C10" s="32" t="s">
        <v>51</v>
      </c>
      <c r="D10" s="32" t="s">
        <v>135</v>
      </c>
      <c r="E10" s="10"/>
      <c r="F10" s="34">
        <v>0</v>
      </c>
      <c r="G10" s="34">
        <v>60</v>
      </c>
      <c r="H10" s="34">
        <f t="shared" ref="H10:H40" si="0">SUM(F10:G10)</f>
        <v>60</v>
      </c>
      <c r="I10" s="10"/>
      <c r="J10" s="37"/>
      <c r="K10" s="10"/>
      <c r="L10" s="35"/>
      <c r="M10" s="35"/>
    </row>
    <row r="11" ht="15" customHeight="1" spans="1:13">
      <c r="A11" s="80">
        <v>45564</v>
      </c>
      <c r="B11" s="10">
        <v>7</v>
      </c>
      <c r="C11" s="32" t="s">
        <v>13</v>
      </c>
      <c r="D11" s="32" t="s">
        <v>137</v>
      </c>
      <c r="E11" s="10" t="s">
        <v>92</v>
      </c>
      <c r="F11" s="34">
        <v>0</v>
      </c>
      <c r="G11" s="34">
        <v>32.93</v>
      </c>
      <c r="H11" s="34">
        <f t="shared" si="0"/>
        <v>32.93</v>
      </c>
      <c r="I11" s="10"/>
      <c r="J11" s="37"/>
      <c r="K11" s="10"/>
      <c r="L11" s="35"/>
      <c r="M11" s="35"/>
    </row>
    <row r="12" ht="15" customHeight="1" spans="1:13">
      <c r="A12" s="80">
        <v>45564</v>
      </c>
      <c r="B12" s="10">
        <v>8</v>
      </c>
      <c r="C12" s="32" t="s">
        <v>13</v>
      </c>
      <c r="D12" s="32" t="s">
        <v>137</v>
      </c>
      <c r="E12" s="10" t="s">
        <v>91</v>
      </c>
      <c r="F12" s="34">
        <v>0</v>
      </c>
      <c r="G12" s="34">
        <v>32.69</v>
      </c>
      <c r="H12" s="34">
        <f t="shared" si="0"/>
        <v>32.69</v>
      </c>
      <c r="I12" s="10"/>
      <c r="J12" s="37"/>
      <c r="K12" s="10"/>
      <c r="L12" s="35"/>
      <c r="M12" s="35"/>
    </row>
    <row r="13" ht="15" customHeight="1" spans="1:13">
      <c r="A13" s="80">
        <v>45564</v>
      </c>
      <c r="B13" s="10">
        <v>9</v>
      </c>
      <c r="C13" s="32" t="s">
        <v>13</v>
      </c>
      <c r="D13" s="32" t="s">
        <v>137</v>
      </c>
      <c r="E13" s="10" t="s">
        <v>92</v>
      </c>
      <c r="F13" s="34">
        <v>0</v>
      </c>
      <c r="G13" s="34">
        <v>38.2</v>
      </c>
      <c r="H13" s="34">
        <f t="shared" si="0"/>
        <v>38.2</v>
      </c>
      <c r="I13" s="10"/>
      <c r="J13" s="37"/>
      <c r="K13" s="10"/>
      <c r="L13" s="35"/>
      <c r="M13" s="35"/>
    </row>
    <row r="14" ht="15" customHeight="1" spans="1:13">
      <c r="A14" s="80">
        <v>45564</v>
      </c>
      <c r="B14" s="10">
        <v>10</v>
      </c>
      <c r="C14" s="32" t="s">
        <v>51</v>
      </c>
      <c r="D14" s="32" t="s">
        <v>135</v>
      </c>
      <c r="E14" s="10"/>
      <c r="F14" s="34">
        <v>0</v>
      </c>
      <c r="G14" s="34">
        <v>60</v>
      </c>
      <c r="H14" s="34">
        <f t="shared" si="0"/>
        <v>60</v>
      </c>
      <c r="I14" s="10"/>
      <c r="J14" s="37"/>
      <c r="K14" s="10"/>
      <c r="L14" s="35"/>
      <c r="M14" s="35"/>
    </row>
    <row r="15" ht="15" customHeight="1" spans="1:13">
      <c r="A15" s="39">
        <v>45565</v>
      </c>
      <c r="B15" s="10">
        <v>11</v>
      </c>
      <c r="C15" s="32" t="s">
        <v>13</v>
      </c>
      <c r="D15" s="32" t="s">
        <v>137</v>
      </c>
      <c r="E15" s="10" t="s">
        <v>138</v>
      </c>
      <c r="F15" s="34">
        <v>0</v>
      </c>
      <c r="G15" s="34">
        <v>146</v>
      </c>
      <c r="H15" s="34">
        <f t="shared" si="0"/>
        <v>146</v>
      </c>
      <c r="I15" s="10"/>
      <c r="J15" s="37"/>
      <c r="K15" s="10"/>
      <c r="L15" s="35"/>
      <c r="M15" s="35"/>
    </row>
    <row r="16" ht="15" customHeight="1" spans="1:13">
      <c r="A16" s="39">
        <v>45565</v>
      </c>
      <c r="B16" s="10">
        <v>12</v>
      </c>
      <c r="C16" s="32" t="s">
        <v>13</v>
      </c>
      <c r="D16" s="32" t="s">
        <v>137</v>
      </c>
      <c r="E16" s="10" t="s">
        <v>139</v>
      </c>
      <c r="F16" s="34">
        <v>0</v>
      </c>
      <c r="G16" s="34">
        <v>29.89</v>
      </c>
      <c r="H16" s="34">
        <f t="shared" si="0"/>
        <v>29.89</v>
      </c>
      <c r="I16" s="10"/>
      <c r="J16" s="37"/>
      <c r="K16" s="10"/>
      <c r="L16" s="35"/>
      <c r="M16" s="35"/>
    </row>
    <row r="17" ht="15" customHeight="1" spans="1:13">
      <c r="A17" s="39">
        <v>45565</v>
      </c>
      <c r="B17" s="10">
        <v>13</v>
      </c>
      <c r="C17" s="32" t="s">
        <v>13</v>
      </c>
      <c r="D17" s="32" t="s">
        <v>137</v>
      </c>
      <c r="E17" s="10" t="s">
        <v>92</v>
      </c>
      <c r="F17" s="34">
        <v>0</v>
      </c>
      <c r="G17" s="34">
        <v>29.9</v>
      </c>
      <c r="H17" s="34">
        <f t="shared" si="0"/>
        <v>29.9</v>
      </c>
      <c r="I17" s="10"/>
      <c r="J17" s="37"/>
      <c r="K17" s="10"/>
      <c r="L17" s="35"/>
      <c r="M17" s="35"/>
    </row>
    <row r="18" ht="15" customHeight="1" spans="1:13">
      <c r="A18" s="39">
        <v>45565</v>
      </c>
      <c r="B18" s="10">
        <v>14</v>
      </c>
      <c r="C18" s="32" t="s">
        <v>51</v>
      </c>
      <c r="D18" s="32" t="s">
        <v>135</v>
      </c>
      <c r="E18" s="10"/>
      <c r="F18" s="34">
        <v>0</v>
      </c>
      <c r="G18" s="34">
        <v>60</v>
      </c>
      <c r="H18" s="34">
        <f t="shared" si="0"/>
        <v>60</v>
      </c>
      <c r="I18" s="10"/>
      <c r="J18" s="37"/>
      <c r="K18" s="10"/>
      <c r="L18" s="35"/>
      <c r="M18" s="35"/>
    </row>
    <row r="19" ht="15" customHeight="1" spans="1:13">
      <c r="A19" s="39">
        <v>45566</v>
      </c>
      <c r="B19" s="10">
        <v>15</v>
      </c>
      <c r="C19" s="32" t="s">
        <v>13</v>
      </c>
      <c r="D19" s="32" t="s">
        <v>137</v>
      </c>
      <c r="E19" s="10" t="s">
        <v>91</v>
      </c>
      <c r="F19" s="34">
        <v>0</v>
      </c>
      <c r="G19" s="34">
        <v>26.9</v>
      </c>
      <c r="H19" s="34">
        <f t="shared" si="0"/>
        <v>26.9</v>
      </c>
      <c r="I19" s="10"/>
      <c r="J19" s="37"/>
      <c r="K19" s="10"/>
      <c r="L19" s="35"/>
      <c r="M19" s="35"/>
    </row>
    <row r="20" ht="15" customHeight="1" spans="1:13">
      <c r="A20" s="39">
        <v>45566</v>
      </c>
      <c r="B20" s="10">
        <v>16</v>
      </c>
      <c r="C20" s="32" t="s">
        <v>13</v>
      </c>
      <c r="D20" s="32" t="s">
        <v>137</v>
      </c>
      <c r="E20" s="10" t="s">
        <v>92</v>
      </c>
      <c r="F20" s="34">
        <v>0</v>
      </c>
      <c r="G20" s="34">
        <v>25.97</v>
      </c>
      <c r="H20" s="34">
        <f t="shared" si="0"/>
        <v>25.97</v>
      </c>
      <c r="I20" s="10"/>
      <c r="J20" s="37"/>
      <c r="K20" s="10"/>
      <c r="L20" s="35"/>
      <c r="M20" s="35"/>
    </row>
    <row r="21" ht="15" customHeight="1" spans="1:13">
      <c r="A21" s="39">
        <v>45566</v>
      </c>
      <c r="B21" s="10">
        <v>17</v>
      </c>
      <c r="C21" s="32" t="s">
        <v>13</v>
      </c>
      <c r="D21" s="32" t="s">
        <v>137</v>
      </c>
      <c r="E21" s="10" t="s">
        <v>91</v>
      </c>
      <c r="F21" s="34">
        <v>0</v>
      </c>
      <c r="G21" s="34">
        <v>27.98</v>
      </c>
      <c r="H21" s="34">
        <f t="shared" si="0"/>
        <v>27.98</v>
      </c>
      <c r="I21" s="10"/>
      <c r="J21" s="37"/>
      <c r="K21" s="10"/>
      <c r="L21" s="35"/>
      <c r="M21" s="35"/>
    </row>
    <row r="22" ht="15" customHeight="1" spans="1:13">
      <c r="A22" s="39">
        <v>45566</v>
      </c>
      <c r="B22" s="10">
        <v>18</v>
      </c>
      <c r="C22" s="32" t="s">
        <v>13</v>
      </c>
      <c r="D22" s="32" t="s">
        <v>137</v>
      </c>
      <c r="E22" s="10" t="s">
        <v>140</v>
      </c>
      <c r="F22" s="34">
        <v>0</v>
      </c>
      <c r="G22" s="34">
        <v>23.93</v>
      </c>
      <c r="H22" s="34">
        <f t="shared" si="0"/>
        <v>23.93</v>
      </c>
      <c r="I22" s="10"/>
      <c r="J22" s="37"/>
      <c r="K22" s="10"/>
      <c r="L22" s="35"/>
      <c r="M22" s="35"/>
    </row>
    <row r="23" ht="15" customHeight="1" spans="1:13">
      <c r="A23" s="39">
        <v>45566</v>
      </c>
      <c r="B23" s="10">
        <v>19</v>
      </c>
      <c r="C23" s="32" t="s">
        <v>13</v>
      </c>
      <c r="D23" s="32" t="s">
        <v>137</v>
      </c>
      <c r="E23" s="10" t="s">
        <v>95</v>
      </c>
      <c r="F23" s="34">
        <v>0</v>
      </c>
      <c r="G23" s="34">
        <v>16.96</v>
      </c>
      <c r="H23" s="34">
        <f t="shared" si="0"/>
        <v>16.96</v>
      </c>
      <c r="I23" s="10"/>
      <c r="J23" s="37"/>
      <c r="K23" s="10"/>
      <c r="L23" s="35"/>
      <c r="M23" s="35"/>
    </row>
    <row r="24" ht="15" customHeight="1" spans="1:13">
      <c r="A24" s="39">
        <v>45566</v>
      </c>
      <c r="B24" s="10">
        <v>20</v>
      </c>
      <c r="C24" s="32" t="s">
        <v>51</v>
      </c>
      <c r="D24" s="32" t="s">
        <v>135</v>
      </c>
      <c r="E24" s="10"/>
      <c r="F24" s="34">
        <v>0</v>
      </c>
      <c r="G24" s="34">
        <v>60</v>
      </c>
      <c r="H24" s="34">
        <f t="shared" si="0"/>
        <v>60</v>
      </c>
      <c r="I24" s="10"/>
      <c r="J24" s="37"/>
      <c r="K24" s="10"/>
      <c r="L24" s="35"/>
      <c r="M24" s="35"/>
    </row>
    <row r="25" ht="15" customHeight="1" spans="1:13">
      <c r="A25" s="39">
        <v>45567</v>
      </c>
      <c r="B25" s="10">
        <v>21</v>
      </c>
      <c r="C25" s="32" t="s">
        <v>51</v>
      </c>
      <c r="D25" s="32" t="s">
        <v>135</v>
      </c>
      <c r="E25" s="10"/>
      <c r="F25" s="34">
        <v>0</v>
      </c>
      <c r="G25" s="34">
        <v>60</v>
      </c>
      <c r="H25" s="34">
        <f t="shared" si="0"/>
        <v>60</v>
      </c>
      <c r="I25" s="10"/>
      <c r="J25" s="37"/>
      <c r="K25" s="10"/>
      <c r="L25" s="35"/>
      <c r="M25" s="35"/>
    </row>
    <row r="26" ht="15" customHeight="1" spans="1:13">
      <c r="A26" s="39">
        <v>45568</v>
      </c>
      <c r="B26" s="10">
        <v>22</v>
      </c>
      <c r="C26" s="32" t="s">
        <v>51</v>
      </c>
      <c r="D26" s="32" t="s">
        <v>135</v>
      </c>
      <c r="E26" s="10"/>
      <c r="F26" s="34">
        <v>0</v>
      </c>
      <c r="G26" s="34">
        <v>60</v>
      </c>
      <c r="H26" s="34">
        <f t="shared" si="0"/>
        <v>60</v>
      </c>
      <c r="I26" s="10"/>
      <c r="J26" s="37"/>
      <c r="K26" s="10"/>
      <c r="L26" s="35"/>
      <c r="M26" s="35"/>
    </row>
    <row r="27" ht="15" customHeight="1" spans="1:13">
      <c r="A27" s="39">
        <v>45568</v>
      </c>
      <c r="B27" s="10">
        <v>23</v>
      </c>
      <c r="C27" s="32" t="s">
        <v>13</v>
      </c>
      <c r="D27" s="32" t="s">
        <v>137</v>
      </c>
      <c r="E27" s="10" t="s">
        <v>91</v>
      </c>
      <c r="F27" s="34">
        <v>0</v>
      </c>
      <c r="G27" s="34">
        <v>25.92</v>
      </c>
      <c r="H27" s="34">
        <f t="shared" si="0"/>
        <v>25.92</v>
      </c>
      <c r="I27" s="10"/>
      <c r="J27" s="37"/>
      <c r="K27" s="10"/>
      <c r="L27" s="35"/>
      <c r="M27" s="35"/>
    </row>
    <row r="28" ht="15" customHeight="1" spans="1:13">
      <c r="A28" s="39">
        <v>45568</v>
      </c>
      <c r="B28" s="10">
        <v>24</v>
      </c>
      <c r="C28" s="32" t="s">
        <v>13</v>
      </c>
      <c r="D28" s="32" t="s">
        <v>137</v>
      </c>
      <c r="E28" s="10" t="s">
        <v>92</v>
      </c>
      <c r="F28" s="34">
        <v>0</v>
      </c>
      <c r="G28" s="34">
        <v>28.84</v>
      </c>
      <c r="H28" s="34">
        <f t="shared" si="0"/>
        <v>28.84</v>
      </c>
      <c r="I28" s="10"/>
      <c r="J28" s="37"/>
      <c r="K28" s="10"/>
      <c r="L28" s="35"/>
      <c r="M28" s="35"/>
    </row>
    <row r="29" ht="15" customHeight="1" spans="1:13">
      <c r="A29" s="39">
        <v>45569</v>
      </c>
      <c r="B29" s="10">
        <v>25</v>
      </c>
      <c r="C29" s="32" t="s">
        <v>13</v>
      </c>
      <c r="D29" s="32" t="s">
        <v>137</v>
      </c>
      <c r="E29" s="10" t="s">
        <v>91</v>
      </c>
      <c r="F29" s="34">
        <v>0</v>
      </c>
      <c r="G29" s="34">
        <v>27.28</v>
      </c>
      <c r="H29" s="34">
        <f t="shared" si="0"/>
        <v>27.28</v>
      </c>
      <c r="I29" s="10"/>
      <c r="J29" s="37"/>
      <c r="K29" s="10"/>
      <c r="L29" s="35"/>
      <c r="M29" s="35"/>
    </row>
    <row r="30" ht="15" customHeight="1" spans="1:13">
      <c r="A30" s="39">
        <v>45569</v>
      </c>
      <c r="B30" s="10">
        <v>26</v>
      </c>
      <c r="C30" s="32" t="s">
        <v>51</v>
      </c>
      <c r="D30" s="32" t="s">
        <v>135</v>
      </c>
      <c r="E30" s="10"/>
      <c r="F30" s="34">
        <v>0</v>
      </c>
      <c r="G30" s="34">
        <v>60</v>
      </c>
      <c r="H30" s="34">
        <f t="shared" si="0"/>
        <v>60</v>
      </c>
      <c r="I30" s="10"/>
      <c r="J30" s="37"/>
      <c r="K30" s="10"/>
      <c r="L30" s="35"/>
      <c r="M30" s="35"/>
    </row>
    <row r="31" ht="15" customHeight="1" spans="1:13">
      <c r="A31" s="39">
        <v>45570</v>
      </c>
      <c r="B31" s="10">
        <v>27</v>
      </c>
      <c r="C31" s="32" t="s">
        <v>13</v>
      </c>
      <c r="D31" s="32" t="s">
        <v>137</v>
      </c>
      <c r="E31" s="10" t="s">
        <v>92</v>
      </c>
      <c r="F31" s="34">
        <v>0</v>
      </c>
      <c r="G31" s="34">
        <v>31.96</v>
      </c>
      <c r="H31" s="34">
        <f t="shared" si="0"/>
        <v>31.96</v>
      </c>
      <c r="I31" s="10"/>
      <c r="J31" s="37"/>
      <c r="K31" s="10"/>
      <c r="L31" s="35"/>
      <c r="M31" s="35"/>
    </row>
    <row r="32" ht="15" customHeight="1" spans="1:13">
      <c r="A32" s="39">
        <v>45570</v>
      </c>
      <c r="B32" s="10">
        <v>28</v>
      </c>
      <c r="C32" s="32" t="s">
        <v>13</v>
      </c>
      <c r="D32" s="32" t="s">
        <v>137</v>
      </c>
      <c r="E32" s="10" t="s">
        <v>97</v>
      </c>
      <c r="F32" s="34">
        <v>0</v>
      </c>
      <c r="G32" s="34">
        <v>68.91</v>
      </c>
      <c r="H32" s="34">
        <f t="shared" si="0"/>
        <v>68.91</v>
      </c>
      <c r="I32" s="10"/>
      <c r="J32" s="37"/>
      <c r="K32" s="10"/>
      <c r="L32" s="35"/>
      <c r="M32" s="35"/>
    </row>
    <row r="33" ht="15" customHeight="1" spans="1:13">
      <c r="A33" s="39">
        <v>45570</v>
      </c>
      <c r="B33" s="10">
        <v>29</v>
      </c>
      <c r="C33" s="32" t="s">
        <v>17</v>
      </c>
      <c r="D33" s="32" t="s">
        <v>141</v>
      </c>
      <c r="E33" s="10" t="s">
        <v>142</v>
      </c>
      <c r="F33" s="34">
        <v>357</v>
      </c>
      <c r="G33" s="34">
        <v>0</v>
      </c>
      <c r="H33" s="34">
        <f t="shared" si="0"/>
        <v>357</v>
      </c>
      <c r="I33" s="10"/>
      <c r="J33" s="37"/>
      <c r="K33" s="10"/>
      <c r="L33" s="35"/>
      <c r="M33" s="35"/>
    </row>
    <row r="34" ht="15" customHeight="1" spans="1:13">
      <c r="A34" s="39">
        <v>45570</v>
      </c>
      <c r="B34" s="10">
        <v>30</v>
      </c>
      <c r="C34" s="32" t="s">
        <v>51</v>
      </c>
      <c r="D34" s="32" t="s">
        <v>135</v>
      </c>
      <c r="E34" s="10"/>
      <c r="F34" s="34">
        <v>0</v>
      </c>
      <c r="G34" s="34">
        <v>60</v>
      </c>
      <c r="H34" s="34">
        <f t="shared" si="0"/>
        <v>60</v>
      </c>
      <c r="I34" s="10"/>
      <c r="J34" s="37"/>
      <c r="K34" s="10"/>
      <c r="L34" s="35"/>
      <c r="M34" s="35"/>
    </row>
    <row r="35" ht="15" customHeight="1" spans="1:13">
      <c r="A35" s="39">
        <v>45570</v>
      </c>
      <c r="B35" s="10">
        <v>31</v>
      </c>
      <c r="C35" s="32" t="s">
        <v>13</v>
      </c>
      <c r="D35" s="32" t="s">
        <v>14</v>
      </c>
      <c r="E35" s="10" t="s">
        <v>98</v>
      </c>
      <c r="F35" s="34">
        <v>0</v>
      </c>
      <c r="G35" s="34">
        <v>83.28</v>
      </c>
      <c r="H35" s="34">
        <f t="shared" si="0"/>
        <v>83.28</v>
      </c>
      <c r="I35" s="10"/>
      <c r="J35" s="37"/>
      <c r="K35" s="10"/>
      <c r="L35" s="35"/>
      <c r="M35" s="35"/>
    </row>
    <row r="36" ht="15" customHeight="1" spans="1:13">
      <c r="A36" s="39" t="s">
        <v>28</v>
      </c>
      <c r="B36" s="10">
        <v>32</v>
      </c>
      <c r="C36" s="32" t="s">
        <v>54</v>
      </c>
      <c r="D36" s="32" t="s">
        <v>84</v>
      </c>
      <c r="E36" s="10" t="s">
        <v>143</v>
      </c>
      <c r="F36" s="34">
        <v>0</v>
      </c>
      <c r="G36" s="34">
        <v>800</v>
      </c>
      <c r="H36" s="34">
        <f t="shared" si="0"/>
        <v>800</v>
      </c>
      <c r="I36" s="10"/>
      <c r="J36" s="37"/>
      <c r="K36" s="10"/>
      <c r="L36" s="35"/>
      <c r="M36" s="35"/>
    </row>
    <row r="37" ht="19" customHeight="1" spans="1:13">
      <c r="A37" s="75" t="s">
        <v>56</v>
      </c>
      <c r="B37" s="75"/>
      <c r="C37" s="75"/>
      <c r="D37" s="75"/>
      <c r="E37" s="75"/>
      <c r="F37" s="81">
        <f>SUM(F5:F36)</f>
        <v>2320</v>
      </c>
      <c r="G37" s="81">
        <f>SUM(G5:G36)</f>
        <v>2106.4</v>
      </c>
      <c r="H37" s="82">
        <f>SUM(H5:H36)</f>
        <v>4426.4</v>
      </c>
      <c r="I37" s="75"/>
      <c r="J37" s="83"/>
      <c r="K37" s="84"/>
      <c r="L37" s="85"/>
      <c r="M37" s="85"/>
    </row>
    <row r="38" spans="1:13">
      <c r="A38" s="48"/>
      <c r="B38" s="49"/>
      <c r="C38" s="49"/>
      <c r="D38" s="49"/>
      <c r="E38" s="49"/>
      <c r="F38" s="49"/>
      <c r="G38" s="50"/>
      <c r="H38" s="50"/>
      <c r="I38" s="49"/>
      <c r="J38" s="51"/>
      <c r="K38" s="49"/>
      <c r="L38" s="49"/>
      <c r="M38" s="49"/>
    </row>
    <row r="39" ht="40" customHeight="1" spans="1:13">
      <c r="A39" s="52"/>
      <c r="B39" s="52"/>
      <c r="C39" s="52"/>
      <c r="D39" s="52"/>
      <c r="E39" s="52"/>
      <c r="F39" s="52"/>
      <c r="G39" s="13" t="s">
        <v>59</v>
      </c>
    </row>
    <row r="40" spans="1:13">
      <c r="A40" s="52"/>
      <c r="B40" s="52"/>
      <c r="C40" s="52"/>
      <c r="D40" s="52"/>
      <c r="E40" s="52"/>
      <c r="F40" s="52"/>
    </row>
    <row r="41" spans="1:13">
      <c r="A41" s="53" t="s">
        <v>57</v>
      </c>
      <c r="B41" s="32" t="s">
        <v>23</v>
      </c>
      <c r="C41" s="54">
        <f>SUMIF($C$5:C36,B41,$G$5:G36)</f>
        <v>0</v>
      </c>
      <c r="E41" s="10" t="s">
        <v>3</v>
      </c>
      <c r="F41" s="10" t="s">
        <v>6</v>
      </c>
      <c r="G41" s="55" t="s">
        <v>58</v>
      </c>
    </row>
    <row r="42" spans="1:13">
      <c r="A42" s="56"/>
      <c r="B42" s="32" t="s">
        <v>17</v>
      </c>
      <c r="C42" s="54">
        <f>SUMIF($C$5:C36,B42,$G$5:G36)</f>
        <v>0</v>
      </c>
      <c r="D42" s="57"/>
      <c r="E42" s="10" t="s">
        <v>60</v>
      </c>
      <c r="F42" s="58">
        <v>0</v>
      </c>
      <c r="G42" s="58">
        <f>F42</f>
        <v>0</v>
      </c>
    </row>
    <row r="43" spans="1:13">
      <c r="A43" s="56"/>
      <c r="B43" s="32" t="s">
        <v>13</v>
      </c>
      <c r="C43" s="54">
        <f>SUMIF($C$5:C36,B43,$G$5:G36)</f>
        <v>826.4</v>
      </c>
      <c r="D43" s="57"/>
      <c r="E43" s="10" t="s">
        <v>61</v>
      </c>
      <c r="F43" s="58">
        <f>$F$37</f>
        <v>2320</v>
      </c>
      <c r="G43" s="58">
        <f>F43+F44</f>
        <v>2320</v>
      </c>
    </row>
    <row r="44" spans="1:13">
      <c r="A44" s="56"/>
      <c r="B44" s="32" t="s">
        <v>62</v>
      </c>
      <c r="C44" s="54">
        <f>SUMIF($C$5:C36,B44,$G$5:G36)</f>
        <v>0</v>
      </c>
      <c r="D44" s="57"/>
      <c r="E44" s="10" t="s">
        <v>63</v>
      </c>
      <c r="F44" s="58">
        <v>0</v>
      </c>
      <c r="G44" s="58"/>
    </row>
    <row r="45" spans="1:13">
      <c r="A45" s="56"/>
      <c r="B45" s="32" t="s">
        <v>51</v>
      </c>
      <c r="C45" s="54">
        <f>SUMIF($C$5:C36,B45,$G$5:G36)</f>
        <v>480</v>
      </c>
      <c r="D45" s="57"/>
      <c r="E45" s="10" t="s">
        <v>64</v>
      </c>
      <c r="F45" s="58">
        <f>$G$37</f>
        <v>2106.4</v>
      </c>
      <c r="G45" s="58">
        <f>F45</f>
        <v>2106.4</v>
      </c>
    </row>
    <row r="46" spans="1:13">
      <c r="A46" s="56"/>
      <c r="B46" s="32" t="s">
        <v>54</v>
      </c>
      <c r="C46" s="54">
        <f>SUMIF($C$5:C36,B46,$G$5:G36)</f>
        <v>800</v>
      </c>
      <c r="D46" s="57"/>
      <c r="E46" s="10" t="s">
        <v>65</v>
      </c>
      <c r="F46" s="58">
        <v>0</v>
      </c>
      <c r="G46" s="58">
        <f>F46</f>
        <v>0</v>
      </c>
    </row>
    <row r="47" spans="1:13">
      <c r="A47" s="60"/>
      <c r="B47" s="6" t="s">
        <v>56</v>
      </c>
      <c r="C47" s="6">
        <f>SUM(C41:C46)</f>
        <v>2106.4</v>
      </c>
      <c r="D47" s="57"/>
      <c r="E47" s="10" t="s">
        <v>66</v>
      </c>
      <c r="F47" s="58">
        <v>2106.4</v>
      </c>
      <c r="G47" s="58">
        <v>2106.4</v>
      </c>
    </row>
    <row r="48" spans="1:13">
      <c r="D48" s="3"/>
    </row>
    <row r="49" spans="1:3">
      <c r="A49" s="61" t="s">
        <v>58</v>
      </c>
      <c r="B49" s="32" t="s">
        <v>23</v>
      </c>
      <c r="C49" s="59">
        <f t="shared" ref="C49:C54" si="1">SUMIF($C$5:$C$36,B49,$H$5:$H$36)</f>
        <v>1613</v>
      </c>
    </row>
    <row r="50" spans="1:3">
      <c r="A50" s="62"/>
      <c r="B50" s="32" t="s">
        <v>17</v>
      </c>
      <c r="C50" s="59">
        <f t="shared" si="1"/>
        <v>707</v>
      </c>
    </row>
    <row r="51" spans="1:3">
      <c r="A51" s="62"/>
      <c r="B51" s="32" t="s">
        <v>13</v>
      </c>
      <c r="C51" s="59">
        <f t="shared" si="1"/>
        <v>826.4</v>
      </c>
    </row>
    <row r="52" spans="1:3">
      <c r="A52" s="62"/>
      <c r="B52" s="32" t="s">
        <v>62</v>
      </c>
      <c r="C52" s="59">
        <f t="shared" si="1"/>
        <v>0</v>
      </c>
    </row>
    <row r="53" spans="1:3">
      <c r="A53" s="62"/>
      <c r="B53" s="32" t="s">
        <v>51</v>
      </c>
      <c r="C53" s="59">
        <f t="shared" si="1"/>
        <v>480</v>
      </c>
    </row>
    <row r="54" spans="1:3">
      <c r="A54" s="62"/>
      <c r="B54" s="32" t="s">
        <v>54</v>
      </c>
      <c r="C54" s="59">
        <f t="shared" si="1"/>
        <v>800</v>
      </c>
    </row>
    <row r="55" spans="1:3">
      <c r="A55" s="63"/>
      <c r="B55" s="6" t="s">
        <v>56</v>
      </c>
      <c r="C55" s="6">
        <f>SUM(C49:C54)</f>
        <v>4426.4</v>
      </c>
    </row>
  </sheetData>
  <autoFilter xmlns:etc="http://www.wps.cn/officeDocument/2017/etCustomData" ref="A4:M37" etc:filterBottomFollowUsedRange="0">
    <extLst/>
  </autoFilter>
  <mergeCells count="15">
    <mergeCell ref="F3:H3"/>
    <mergeCell ref="A37:E37"/>
    <mergeCell ref="A39:E39"/>
    <mergeCell ref="A3:A4"/>
    <mergeCell ref="A41:A47"/>
    <mergeCell ref="A49:A55"/>
    <mergeCell ref="B3:B4"/>
    <mergeCell ref="C3:C4"/>
    <mergeCell ref="D3:D4"/>
    <mergeCell ref="E3:E4"/>
    <mergeCell ref="G43:G44"/>
    <mergeCell ref="I3:I4"/>
    <mergeCell ref="J3:J4"/>
    <mergeCell ref="K3:M4"/>
    <mergeCell ref="A1:M2"/>
  </mergeCells>
  <dataValidations count="1">
    <dataValidation type="list" allowBlank="1" showInputMessage="1" showErrorMessage="1" sqref="C5:C36">
      <formula1>$B$41:$B$46</formula1>
    </dataValidation>
  </dataValidations>
  <printOptions horizontalCentered="1"/>
  <pageMargins left="0.2" right="0.180555555555556" top="0.16875" bottom="0.207638888888889" header="0.16875" footer="0.16875"/>
  <pageSetup paperSize="9" scale="60" orientation="landscape" horizontalDpi="6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1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G21" sqref="G21"/>
    </sheetView>
  </sheetViews>
  <sheetFormatPr defaultColWidth="9" defaultRowHeight="16.8"/>
  <cols>
    <col min="1" max="1" width="11.625" style="12" customWidth="1"/>
    <col min="2" max="2" width="11.875" style="12" customWidth="1"/>
    <col min="3" max="3" width="11.125" style="12" customWidth="1"/>
    <col min="4" max="4" width="14.9038461538462" style="12" customWidth="1"/>
    <col min="5" max="5" width="26.125" style="12" customWidth="1"/>
    <col min="6" max="6" width="10.75" style="12" customWidth="1"/>
    <col min="7" max="7" width="9.75" style="13" customWidth="1"/>
    <col min="8" max="8" width="11.375" style="13" customWidth="1"/>
    <col min="9" max="9" width="10" style="12" customWidth="1"/>
    <col min="10" max="10" width="59.7692307692308" style="14" customWidth="1"/>
    <col min="11" max="11" width="7.375" style="3" customWidth="1"/>
    <col min="12" max="13" width="7.375" style="12" customWidth="1"/>
    <col min="14" max="16384" width="9.06730769230769" style="12"/>
  </cols>
  <sheetData>
    <row r="1" ht="17.6" spans="1:13">
      <c r="A1" s="15" t="s">
        <v>144</v>
      </c>
      <c r="B1" s="15"/>
      <c r="C1" s="15"/>
      <c r="D1" s="15"/>
      <c r="E1" s="15"/>
      <c r="F1" s="15"/>
      <c r="G1" s="15"/>
      <c r="H1" s="15"/>
      <c r="I1" s="15"/>
      <c r="J1" s="15"/>
    </row>
    <row r="2" ht="17.6" spans="1:13">
      <c r="A2" s="15"/>
      <c r="B2" s="15"/>
      <c r="C2" s="15"/>
      <c r="D2" s="15"/>
      <c r="E2" s="15"/>
      <c r="F2" s="15"/>
      <c r="G2" s="15"/>
      <c r="H2" s="15"/>
      <c r="I2" s="15"/>
      <c r="J2" s="15"/>
    </row>
    <row r="3" ht="19" customHeight="1" spans="1:13">
      <c r="A3" s="16" t="s">
        <v>1</v>
      </c>
      <c r="B3" s="16" t="s">
        <v>2</v>
      </c>
      <c r="C3" s="16" t="s">
        <v>3</v>
      </c>
      <c r="D3" s="17" t="s">
        <v>4</v>
      </c>
      <c r="E3" s="16" t="s">
        <v>5</v>
      </c>
      <c r="F3" s="18" t="s">
        <v>6</v>
      </c>
      <c r="G3" s="19"/>
      <c r="H3" s="20"/>
      <c r="I3" s="16" t="s">
        <v>7</v>
      </c>
      <c r="J3" s="17" t="s">
        <v>8</v>
      </c>
      <c r="K3" s="21" t="s">
        <v>9</v>
      </c>
      <c r="L3" s="22"/>
      <c r="M3" s="23"/>
    </row>
    <row r="4" ht="19" customHeight="1" spans="1:13">
      <c r="A4" s="24"/>
      <c r="B4" s="24"/>
      <c r="C4" s="24"/>
      <c r="D4" s="25"/>
      <c r="E4" s="24"/>
      <c r="F4" s="26" t="s">
        <v>10</v>
      </c>
      <c r="G4" s="27" t="s">
        <v>11</v>
      </c>
      <c r="H4" s="27" t="s">
        <v>12</v>
      </c>
      <c r="I4" s="24"/>
      <c r="J4" s="25"/>
      <c r="K4" s="28"/>
      <c r="L4" s="29"/>
      <c r="M4" s="30"/>
    </row>
    <row r="5" ht="19" customHeight="1" spans="1:13">
      <c r="A5" s="39">
        <v>45120</v>
      </c>
      <c r="B5" s="10">
        <v>1</v>
      </c>
      <c r="C5" s="32" t="s">
        <v>13</v>
      </c>
      <c r="D5" s="32" t="s">
        <v>14</v>
      </c>
      <c r="E5" s="10" t="s">
        <v>15</v>
      </c>
      <c r="F5" s="33">
        <v>135.49</v>
      </c>
      <c r="G5" s="33">
        <v>0</v>
      </c>
      <c r="H5" s="34">
        <f t="shared" ref="H5:H22" si="0">SUM(F5:G5)</f>
        <v>135.49</v>
      </c>
      <c r="I5" s="10"/>
      <c r="J5" s="10"/>
      <c r="K5" s="10"/>
      <c r="L5" s="35"/>
      <c r="M5" s="35"/>
    </row>
    <row r="6" ht="19" customHeight="1" spans="1:13">
      <c r="A6" s="39"/>
      <c r="B6" s="10">
        <v>2</v>
      </c>
      <c r="C6" s="32" t="s">
        <v>51</v>
      </c>
      <c r="D6" s="32" t="s">
        <v>145</v>
      </c>
      <c r="E6" s="10"/>
      <c r="F6" s="33">
        <v>0</v>
      </c>
      <c r="G6" s="33">
        <v>150</v>
      </c>
      <c r="H6" s="34">
        <f t="shared" si="0"/>
        <v>150</v>
      </c>
      <c r="I6" s="10"/>
      <c r="J6" s="10"/>
      <c r="K6" s="10"/>
      <c r="L6" s="35"/>
      <c r="M6" s="35"/>
    </row>
    <row r="7" ht="19" customHeight="1" spans="1:13">
      <c r="A7" s="39"/>
      <c r="B7" s="10">
        <v>3</v>
      </c>
      <c r="C7" s="32" t="s">
        <v>23</v>
      </c>
      <c r="D7" s="32" t="s">
        <v>145</v>
      </c>
      <c r="E7" s="10"/>
      <c r="F7" s="33">
        <v>480</v>
      </c>
      <c r="G7" s="33">
        <v>51</v>
      </c>
      <c r="H7" s="34">
        <f t="shared" si="0"/>
        <v>531</v>
      </c>
      <c r="I7" s="10"/>
      <c r="J7" s="10"/>
      <c r="K7" s="10"/>
      <c r="L7" s="35"/>
      <c r="M7" s="35"/>
    </row>
    <row r="8" ht="19" customHeight="1" spans="1:13">
      <c r="A8" s="39"/>
      <c r="B8" s="10">
        <v>4</v>
      </c>
      <c r="C8" s="32" t="s">
        <v>17</v>
      </c>
      <c r="D8" s="32" t="s">
        <v>18</v>
      </c>
      <c r="E8" s="10" t="s">
        <v>146</v>
      </c>
      <c r="F8" s="33">
        <v>800</v>
      </c>
      <c r="G8" s="33">
        <v>0</v>
      </c>
      <c r="H8" s="34">
        <f t="shared" si="0"/>
        <v>800</v>
      </c>
      <c r="I8" s="10"/>
      <c r="J8" s="37"/>
      <c r="K8" s="10"/>
      <c r="L8" s="35"/>
      <c r="M8" s="35"/>
    </row>
    <row r="9" ht="19" customHeight="1" spans="1:13">
      <c r="A9" s="39"/>
      <c r="B9" s="10">
        <v>5</v>
      </c>
      <c r="C9" s="32" t="s">
        <v>13</v>
      </c>
      <c r="D9" s="32" t="s">
        <v>147</v>
      </c>
      <c r="E9" s="10" t="s">
        <v>71</v>
      </c>
      <c r="F9" s="33">
        <v>119.42</v>
      </c>
      <c r="G9" s="33">
        <v>0</v>
      </c>
      <c r="H9" s="34">
        <f t="shared" si="0"/>
        <v>119.42</v>
      </c>
      <c r="I9" s="10"/>
      <c r="J9" s="37"/>
      <c r="K9" s="10"/>
      <c r="L9" s="35"/>
      <c r="M9" s="35"/>
    </row>
    <row r="10" ht="19" customHeight="1" spans="1:13">
      <c r="A10" s="39"/>
      <c r="B10" s="10">
        <v>6</v>
      </c>
      <c r="C10" s="32" t="s">
        <v>13</v>
      </c>
      <c r="D10" s="32" t="s">
        <v>147</v>
      </c>
      <c r="E10" s="10" t="s">
        <v>125</v>
      </c>
      <c r="F10" s="33">
        <v>10.01</v>
      </c>
      <c r="G10" s="33">
        <v>0</v>
      </c>
      <c r="H10" s="34">
        <f t="shared" si="0"/>
        <v>10.01</v>
      </c>
      <c r="I10" s="10"/>
      <c r="J10" s="37"/>
      <c r="K10" s="10"/>
      <c r="L10" s="35"/>
      <c r="M10" s="35"/>
    </row>
    <row r="11" ht="19" customHeight="1" spans="1:13">
      <c r="A11" s="39"/>
      <c r="B11" s="10">
        <v>7</v>
      </c>
      <c r="C11" s="32" t="s">
        <v>13</v>
      </c>
      <c r="D11" s="32" t="s">
        <v>147</v>
      </c>
      <c r="E11" s="10" t="s">
        <v>148</v>
      </c>
      <c r="F11" s="33">
        <v>9.49</v>
      </c>
      <c r="G11" s="33">
        <v>0</v>
      </c>
      <c r="H11" s="34">
        <f t="shared" si="0"/>
        <v>9.49</v>
      </c>
      <c r="I11" s="10"/>
      <c r="J11" s="37"/>
      <c r="K11" s="10"/>
      <c r="L11" s="35"/>
      <c r="M11" s="35"/>
    </row>
    <row r="12" ht="19" customHeight="1" spans="1:13">
      <c r="A12" s="39">
        <v>45121</v>
      </c>
      <c r="B12" s="10">
        <v>8</v>
      </c>
      <c r="C12" s="32" t="s">
        <v>13</v>
      </c>
      <c r="D12" s="32" t="s">
        <v>147</v>
      </c>
      <c r="E12" s="10" t="s">
        <v>149</v>
      </c>
      <c r="F12" s="33">
        <v>8.9</v>
      </c>
      <c r="G12" s="33">
        <v>0</v>
      </c>
      <c r="H12" s="34">
        <f t="shared" si="0"/>
        <v>8.9</v>
      </c>
      <c r="I12" s="10"/>
      <c r="J12" s="37" t="s">
        <v>150</v>
      </c>
      <c r="K12" s="10"/>
      <c r="L12" s="35"/>
      <c r="M12" s="35"/>
    </row>
    <row r="13" ht="19" customHeight="1" spans="1:13">
      <c r="A13" s="39"/>
      <c r="B13" s="10">
        <v>9</v>
      </c>
      <c r="C13" s="32" t="s">
        <v>51</v>
      </c>
      <c r="D13" s="32" t="s">
        <v>145</v>
      </c>
      <c r="E13" s="10"/>
      <c r="F13" s="33">
        <v>0</v>
      </c>
      <c r="G13" s="33">
        <v>110</v>
      </c>
      <c r="H13" s="34">
        <f t="shared" si="0"/>
        <v>110</v>
      </c>
      <c r="I13" s="10"/>
      <c r="J13" s="37"/>
      <c r="K13" s="10"/>
      <c r="L13" s="35"/>
      <c r="M13" s="35"/>
    </row>
    <row r="14" ht="19" customHeight="1" spans="1:13">
      <c r="A14" s="39"/>
      <c r="B14" s="10">
        <v>10</v>
      </c>
      <c r="C14" s="32" t="s">
        <v>13</v>
      </c>
      <c r="D14" s="32" t="s">
        <v>147</v>
      </c>
      <c r="E14" s="10" t="s">
        <v>151</v>
      </c>
      <c r="F14" s="33">
        <v>8.6</v>
      </c>
      <c r="G14" s="33">
        <v>0</v>
      </c>
      <c r="H14" s="34">
        <f t="shared" si="0"/>
        <v>8.6</v>
      </c>
      <c r="I14" s="10"/>
      <c r="J14" s="37"/>
      <c r="K14" s="10"/>
      <c r="L14" s="35"/>
      <c r="M14" s="35"/>
    </row>
    <row r="15" ht="19" customHeight="1" spans="1:13">
      <c r="A15" s="39"/>
      <c r="B15" s="10">
        <v>11</v>
      </c>
      <c r="C15" s="32" t="s">
        <v>13</v>
      </c>
      <c r="D15" s="32" t="s">
        <v>147</v>
      </c>
      <c r="E15" s="10" t="s">
        <v>148</v>
      </c>
      <c r="F15" s="33">
        <v>8.6</v>
      </c>
      <c r="G15" s="33">
        <v>0</v>
      </c>
      <c r="H15" s="34">
        <f t="shared" si="0"/>
        <v>8.6</v>
      </c>
      <c r="I15" s="10"/>
      <c r="J15" s="37"/>
      <c r="K15" s="10"/>
      <c r="L15" s="35"/>
      <c r="M15" s="35"/>
    </row>
    <row r="16" ht="19" customHeight="1" spans="1:13">
      <c r="A16" s="39">
        <v>45122</v>
      </c>
      <c r="B16" s="10">
        <v>12</v>
      </c>
      <c r="C16" s="32" t="s">
        <v>13</v>
      </c>
      <c r="D16" s="32" t="s">
        <v>147</v>
      </c>
      <c r="E16" s="10" t="s">
        <v>125</v>
      </c>
      <c r="F16" s="33">
        <v>9.75</v>
      </c>
      <c r="G16" s="33">
        <v>0</v>
      </c>
      <c r="H16" s="34">
        <f t="shared" si="0"/>
        <v>9.75</v>
      </c>
      <c r="I16" s="10"/>
      <c r="J16" s="37"/>
      <c r="K16" s="10"/>
      <c r="L16" s="35"/>
      <c r="M16" s="35"/>
    </row>
    <row r="17" ht="19" customHeight="1" spans="1:13">
      <c r="A17" s="39"/>
      <c r="B17" s="10">
        <v>13</v>
      </c>
      <c r="C17" s="32" t="s">
        <v>51</v>
      </c>
      <c r="D17" s="32" t="s">
        <v>145</v>
      </c>
      <c r="E17" s="10"/>
      <c r="F17" s="33">
        <v>0</v>
      </c>
      <c r="G17" s="33">
        <v>100</v>
      </c>
      <c r="H17" s="34">
        <f t="shared" si="0"/>
        <v>100</v>
      </c>
      <c r="I17" s="10"/>
      <c r="J17" s="37"/>
      <c r="K17" s="10"/>
      <c r="L17" s="35"/>
      <c r="M17" s="35"/>
    </row>
    <row r="18" ht="19" customHeight="1" spans="1:13">
      <c r="A18" s="39"/>
      <c r="B18" s="10">
        <v>14</v>
      </c>
      <c r="C18" s="32" t="s">
        <v>13</v>
      </c>
      <c r="D18" s="32" t="s">
        <v>147</v>
      </c>
      <c r="E18" s="10" t="s">
        <v>152</v>
      </c>
      <c r="F18" s="33">
        <v>12</v>
      </c>
      <c r="G18" s="33">
        <v>0</v>
      </c>
      <c r="H18" s="34">
        <f t="shared" si="0"/>
        <v>12</v>
      </c>
      <c r="I18" s="10"/>
      <c r="J18" s="37"/>
      <c r="K18" s="10"/>
      <c r="L18" s="35"/>
      <c r="M18" s="35"/>
    </row>
    <row r="19" ht="19" customHeight="1" spans="1:13">
      <c r="A19" s="39">
        <v>45123</v>
      </c>
      <c r="B19" s="10">
        <v>15</v>
      </c>
      <c r="C19" s="32" t="s">
        <v>13</v>
      </c>
      <c r="D19" s="32" t="s">
        <v>147</v>
      </c>
      <c r="E19" s="10" t="s">
        <v>153</v>
      </c>
      <c r="F19" s="33">
        <v>173.33</v>
      </c>
      <c r="G19" s="33">
        <v>0</v>
      </c>
      <c r="H19" s="34">
        <f t="shared" si="0"/>
        <v>173.33</v>
      </c>
      <c r="I19" s="10"/>
      <c r="J19" s="37"/>
      <c r="K19" s="10"/>
      <c r="L19" s="35"/>
      <c r="M19" s="35"/>
    </row>
    <row r="20" ht="19" customHeight="1" spans="1:13">
      <c r="A20" s="39"/>
      <c r="B20" s="10">
        <v>16</v>
      </c>
      <c r="C20" s="32" t="s">
        <v>13</v>
      </c>
      <c r="D20" s="32" t="s">
        <v>14</v>
      </c>
      <c r="E20" s="10" t="s">
        <v>43</v>
      </c>
      <c r="F20" s="33">
        <v>127</v>
      </c>
      <c r="G20" s="33">
        <v>0</v>
      </c>
      <c r="H20" s="34">
        <f t="shared" si="0"/>
        <v>127</v>
      </c>
      <c r="I20" s="10"/>
      <c r="J20" s="37"/>
      <c r="K20" s="10"/>
      <c r="L20" s="35"/>
      <c r="M20" s="35"/>
    </row>
    <row r="21" ht="19" customHeight="1" spans="1:13">
      <c r="A21" s="39"/>
      <c r="B21" s="10">
        <v>17</v>
      </c>
      <c r="C21" s="32" t="s">
        <v>51</v>
      </c>
      <c r="D21" s="32" t="s">
        <v>145</v>
      </c>
      <c r="E21" s="10"/>
      <c r="F21" s="33">
        <v>0</v>
      </c>
      <c r="G21" s="33">
        <v>150</v>
      </c>
      <c r="H21" s="34">
        <f t="shared" si="0"/>
        <v>150</v>
      </c>
      <c r="I21" s="10"/>
      <c r="J21" s="37"/>
      <c r="K21" s="10"/>
      <c r="L21" s="35"/>
      <c r="M21" s="35"/>
    </row>
    <row r="22" ht="19" customHeight="1" spans="1:13">
      <c r="A22" s="39"/>
      <c r="B22" s="10">
        <v>18</v>
      </c>
      <c r="C22" s="32" t="s">
        <v>17</v>
      </c>
      <c r="D22" s="32" t="s">
        <v>154</v>
      </c>
      <c r="E22" s="10" t="s">
        <v>155</v>
      </c>
      <c r="F22" s="33">
        <v>940</v>
      </c>
      <c r="G22" s="33">
        <v>0</v>
      </c>
      <c r="H22" s="34">
        <f t="shared" si="0"/>
        <v>940</v>
      </c>
      <c r="I22" s="10"/>
      <c r="J22" s="37"/>
      <c r="K22" s="10"/>
      <c r="L22" s="35"/>
      <c r="M22" s="35"/>
    </row>
    <row r="23" ht="19" customHeight="1" spans="1:13">
      <c r="A23" s="26" t="s">
        <v>56</v>
      </c>
      <c r="B23" s="26"/>
      <c r="C23" s="26"/>
      <c r="D23" s="26"/>
      <c r="E23" s="26"/>
      <c r="F23" s="45">
        <f t="shared" ref="F23:H23" si="1">SUM(F5:F22)</f>
        <v>2842.59</v>
      </c>
      <c r="G23" s="45">
        <f t="shared" si="1"/>
        <v>561</v>
      </c>
      <c r="H23" s="46">
        <f t="shared" si="1"/>
        <v>3403.59</v>
      </c>
      <c r="I23" s="26"/>
      <c r="J23" s="47"/>
      <c r="K23" s="10"/>
      <c r="L23" s="35"/>
      <c r="M23" s="35"/>
    </row>
    <row r="24" spans="1:13">
      <c r="A24" s="48"/>
      <c r="B24" s="49"/>
      <c r="C24" s="49"/>
      <c r="D24" s="49"/>
      <c r="E24" s="49"/>
      <c r="F24" s="49"/>
      <c r="G24" s="50"/>
      <c r="H24" s="50"/>
      <c r="I24" s="49"/>
      <c r="J24" s="51"/>
      <c r="K24" s="49"/>
      <c r="L24" s="49"/>
      <c r="M24" s="49"/>
    </row>
    <row r="25" spans="1:13">
      <c r="A25" s="52"/>
      <c r="B25" s="52"/>
      <c r="C25" s="52"/>
      <c r="D25" s="52"/>
      <c r="E25" s="52"/>
      <c r="F25" s="52"/>
      <c r="G25" s="13" t="s">
        <v>59</v>
      </c>
    </row>
    <row r="26" spans="1:13">
      <c r="A26" s="52"/>
      <c r="B26" s="52"/>
      <c r="C26" s="52"/>
      <c r="D26" s="52"/>
      <c r="E26" s="52"/>
      <c r="F26" s="52"/>
    </row>
    <row r="27" spans="1:13">
      <c r="A27" s="53" t="s">
        <v>57</v>
      </c>
      <c r="B27" s="32" t="s">
        <v>23</v>
      </c>
      <c r="C27" s="54">
        <f>SUMIF($C$5:C22,B27,$G$5:G22)</f>
        <v>51</v>
      </c>
      <c r="E27" s="10" t="s">
        <v>3</v>
      </c>
      <c r="F27" s="10" t="s">
        <v>6</v>
      </c>
      <c r="G27" s="55" t="s">
        <v>58</v>
      </c>
    </row>
    <row r="28" spans="1:13">
      <c r="A28" s="56"/>
      <c r="B28" s="32" t="s">
        <v>17</v>
      </c>
      <c r="C28" s="54">
        <f>SUMIF($C$5:C23,B28,$G$5:G23)</f>
        <v>0</v>
      </c>
      <c r="D28" s="57"/>
      <c r="E28" s="10" t="s">
        <v>60</v>
      </c>
      <c r="F28" s="58">
        <v>0</v>
      </c>
      <c r="G28" s="58">
        <f t="shared" ref="G28:G33" si="2">F28</f>
        <v>0</v>
      </c>
    </row>
    <row r="29" spans="1:13">
      <c r="A29" s="56"/>
      <c r="B29" s="32" t="s">
        <v>13</v>
      </c>
      <c r="C29" s="54">
        <f>SUMIF($C$5:C24,B29,$G$5:G24)</f>
        <v>0</v>
      </c>
      <c r="D29" s="57"/>
      <c r="E29" s="10" t="s">
        <v>61</v>
      </c>
      <c r="F29" s="58">
        <f>$F$23</f>
        <v>2842.59</v>
      </c>
      <c r="G29" s="58">
        <f>F29+F30</f>
        <v>2842.59</v>
      </c>
    </row>
    <row r="30" spans="1:13">
      <c r="A30" s="56"/>
      <c r="B30" s="32" t="s">
        <v>62</v>
      </c>
      <c r="C30" s="54">
        <f>SUMIF($C$5:C25,B30,$G$5:G25)</f>
        <v>0</v>
      </c>
      <c r="D30" s="57"/>
      <c r="E30" s="10" t="s">
        <v>63</v>
      </c>
      <c r="F30" s="58">
        <v>0</v>
      </c>
      <c r="G30" s="58"/>
    </row>
    <row r="31" spans="1:13">
      <c r="A31" s="56"/>
      <c r="B31" s="32" t="s">
        <v>51</v>
      </c>
      <c r="C31" s="54">
        <f>SUMIF($C$5:C26,B31,$G$5:G26)</f>
        <v>510</v>
      </c>
      <c r="D31" s="57"/>
      <c r="E31" s="10" t="s">
        <v>64</v>
      </c>
      <c r="F31" s="58">
        <f>$G$23</f>
        <v>561</v>
      </c>
      <c r="G31" s="58">
        <f t="shared" si="2"/>
        <v>561</v>
      </c>
    </row>
    <row r="32" spans="1:13">
      <c r="A32" s="56"/>
      <c r="B32" s="32" t="s">
        <v>54</v>
      </c>
      <c r="C32" s="54">
        <f>SUMIF($C$5:C27,B32,$G$5:G27)</f>
        <v>0</v>
      </c>
      <c r="D32" s="57"/>
      <c r="E32" s="10" t="s">
        <v>65</v>
      </c>
      <c r="F32" s="58">
        <f>F28-F31</f>
        <v>-561</v>
      </c>
      <c r="G32" s="58">
        <f t="shared" si="2"/>
        <v>-561</v>
      </c>
    </row>
    <row r="33" spans="1:7">
      <c r="A33" s="60"/>
      <c r="B33" s="6" t="s">
        <v>56</v>
      </c>
      <c r="C33" s="6">
        <f>SUM(C27:C32)</f>
        <v>561</v>
      </c>
      <c r="D33" s="57"/>
      <c r="E33" s="10" t="s">
        <v>66</v>
      </c>
      <c r="F33" s="58">
        <v>0</v>
      </c>
      <c r="G33" s="58">
        <f t="shared" si="2"/>
        <v>0</v>
      </c>
    </row>
    <row r="34" spans="1:7">
      <c r="D34" s="3"/>
    </row>
    <row r="35" spans="1:7">
      <c r="A35" s="61" t="s">
        <v>58</v>
      </c>
      <c r="B35" s="32" t="s">
        <v>23</v>
      </c>
      <c r="C35" s="59">
        <f t="shared" ref="C35:C40" si="3">SUMIF($C$5:$C$22,B35,$H$5:$H$22)</f>
        <v>531</v>
      </c>
    </row>
    <row r="36" spans="1:7">
      <c r="A36" s="62"/>
      <c r="B36" s="32" t="s">
        <v>17</v>
      </c>
      <c r="C36" s="59">
        <f t="shared" si="3"/>
        <v>1740</v>
      </c>
    </row>
    <row r="37" spans="1:7">
      <c r="A37" s="62"/>
      <c r="B37" s="32" t="s">
        <v>13</v>
      </c>
      <c r="C37" s="59">
        <f t="shared" si="3"/>
        <v>622.59</v>
      </c>
    </row>
    <row r="38" spans="1:7">
      <c r="A38" s="62"/>
      <c r="B38" s="32" t="s">
        <v>62</v>
      </c>
      <c r="C38" s="59">
        <f t="shared" si="3"/>
        <v>0</v>
      </c>
    </row>
    <row r="39" spans="1:7">
      <c r="A39" s="62"/>
      <c r="B39" s="32" t="s">
        <v>51</v>
      </c>
      <c r="C39" s="59">
        <f t="shared" si="3"/>
        <v>510</v>
      </c>
    </row>
    <row r="40" spans="1:7">
      <c r="A40" s="62"/>
      <c r="B40" s="32" t="s">
        <v>54</v>
      </c>
      <c r="C40" s="59">
        <f t="shared" si="3"/>
        <v>0</v>
      </c>
    </row>
    <row r="41" spans="1:7">
      <c r="A41" s="63"/>
      <c r="B41" s="6" t="s">
        <v>56</v>
      </c>
      <c r="C41" s="6">
        <f>SUM(C35:C40)</f>
        <v>3403.59</v>
      </c>
    </row>
  </sheetData>
  <autoFilter xmlns:etc="http://www.wps.cn/officeDocument/2017/etCustomData" ref="A4:M23" etc:filterBottomFollowUsedRange="0">
    <extLst/>
  </autoFilter>
  <mergeCells count="19">
    <mergeCell ref="A1:J1"/>
    <mergeCell ref="F3:H3"/>
    <mergeCell ref="A23:E23"/>
    <mergeCell ref="A25:E25"/>
    <mergeCell ref="A3:A4"/>
    <mergeCell ref="A5:A11"/>
    <mergeCell ref="A12:A15"/>
    <mergeCell ref="A16:A18"/>
    <mergeCell ref="A19:A22"/>
    <mergeCell ref="A27:A33"/>
    <mergeCell ref="A35:A41"/>
    <mergeCell ref="B3:B4"/>
    <mergeCell ref="C3:C4"/>
    <mergeCell ref="D3:D4"/>
    <mergeCell ref="E3:E4"/>
    <mergeCell ref="G29:G30"/>
    <mergeCell ref="I3:I4"/>
    <mergeCell ref="J3:J4"/>
    <mergeCell ref="K3:M4"/>
  </mergeCells>
  <dataValidations count="1">
    <dataValidation type="list" allowBlank="1" showInputMessage="1" showErrorMessage="1" sqref="C5:C22">
      <formula1>$B$27:$B$32</formula1>
    </dataValidation>
  </dataValidations>
  <printOptions horizontalCentered="1"/>
  <pageMargins left="0.2" right="0.180555555555556" top="0.16875" bottom="0.207638888888889" header="0.16875" footer="0.16875"/>
  <pageSetup paperSize="9" scale="75" orientation="landscape" horizontalDpi="6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1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G21" sqref="G21"/>
    </sheetView>
  </sheetViews>
  <sheetFormatPr defaultColWidth="9" defaultRowHeight="16.8"/>
  <cols>
    <col min="1" max="1" width="11.625" style="12" customWidth="1"/>
    <col min="2" max="2" width="11.875" style="12" customWidth="1"/>
    <col min="3" max="3" width="11.125" style="12" customWidth="1"/>
    <col min="4" max="4" width="14.9038461538462" style="12" customWidth="1"/>
    <col min="5" max="5" width="26.125" style="12" customWidth="1"/>
    <col min="6" max="6" width="10.75" style="12" customWidth="1"/>
    <col min="7" max="7" width="9.75" style="13" customWidth="1"/>
    <col min="8" max="8" width="11.375" style="13" customWidth="1"/>
    <col min="9" max="9" width="10" style="12" customWidth="1"/>
    <col min="10" max="10" width="59.7692307692308" style="14" customWidth="1"/>
    <col min="11" max="11" width="7.375" style="3" customWidth="1"/>
    <col min="12" max="13" width="7.375" style="12" customWidth="1"/>
    <col min="14" max="16384" width="9.06730769230769" style="12"/>
  </cols>
  <sheetData>
    <row r="1" ht="17.6" spans="1:13">
      <c r="A1" s="15" t="s">
        <v>156</v>
      </c>
      <c r="B1" s="15"/>
      <c r="C1" s="15"/>
      <c r="D1" s="15"/>
      <c r="E1" s="15"/>
      <c r="F1" s="15"/>
      <c r="G1" s="15"/>
      <c r="H1" s="15"/>
      <c r="I1" s="15"/>
      <c r="J1" s="15"/>
    </row>
    <row r="2" ht="17.6" spans="1:13">
      <c r="A2" s="15"/>
      <c r="B2" s="15"/>
      <c r="C2" s="15"/>
      <c r="D2" s="15"/>
      <c r="E2" s="15"/>
      <c r="F2" s="15"/>
      <c r="G2" s="15"/>
      <c r="H2" s="15"/>
      <c r="I2" s="15"/>
      <c r="J2" s="15"/>
    </row>
    <row r="3" ht="19" customHeight="1" spans="1:13">
      <c r="A3" s="16" t="s">
        <v>1</v>
      </c>
      <c r="B3" s="16" t="s">
        <v>2</v>
      </c>
      <c r="C3" s="16" t="s">
        <v>3</v>
      </c>
      <c r="D3" s="17" t="s">
        <v>4</v>
      </c>
      <c r="E3" s="16" t="s">
        <v>5</v>
      </c>
      <c r="F3" s="18" t="s">
        <v>6</v>
      </c>
      <c r="G3" s="19"/>
      <c r="H3" s="20"/>
      <c r="I3" s="16" t="s">
        <v>7</v>
      </c>
      <c r="J3" s="17" t="s">
        <v>8</v>
      </c>
      <c r="K3" s="21" t="s">
        <v>9</v>
      </c>
      <c r="L3" s="22"/>
      <c r="M3" s="23"/>
    </row>
    <row r="4" ht="19" customHeight="1" spans="1:13">
      <c r="A4" s="24"/>
      <c r="B4" s="24"/>
      <c r="C4" s="24"/>
      <c r="D4" s="25"/>
      <c r="E4" s="24"/>
      <c r="F4" s="26" t="s">
        <v>10</v>
      </c>
      <c r="G4" s="27" t="s">
        <v>11</v>
      </c>
      <c r="H4" s="27" t="s">
        <v>12</v>
      </c>
      <c r="I4" s="24"/>
      <c r="J4" s="25"/>
      <c r="K4" s="28"/>
      <c r="L4" s="29"/>
      <c r="M4" s="30"/>
    </row>
    <row r="5" ht="19" customHeight="1" spans="1:13">
      <c r="A5" s="31">
        <v>45063</v>
      </c>
      <c r="B5" s="10">
        <v>1</v>
      </c>
      <c r="C5" s="32" t="s">
        <v>13</v>
      </c>
      <c r="D5" s="32" t="s">
        <v>14</v>
      </c>
      <c r="E5" s="10" t="s">
        <v>157</v>
      </c>
      <c r="F5" s="33">
        <v>26.55</v>
      </c>
      <c r="G5" s="33">
        <v>0</v>
      </c>
      <c r="H5" s="34">
        <f t="shared" ref="H5:H12" si="0">SUM(F5:G5)</f>
        <v>26.55</v>
      </c>
      <c r="I5" s="10"/>
      <c r="J5" s="10"/>
      <c r="K5" s="10"/>
      <c r="L5" s="35"/>
      <c r="M5" s="35"/>
    </row>
    <row r="6" ht="19" customHeight="1" spans="1:13">
      <c r="A6" s="36"/>
      <c r="B6" s="10">
        <v>2</v>
      </c>
      <c r="C6" s="32" t="s">
        <v>17</v>
      </c>
      <c r="D6" s="32" t="s">
        <v>158</v>
      </c>
      <c r="E6" s="10" t="s">
        <v>159</v>
      </c>
      <c r="F6" s="33">
        <v>1390</v>
      </c>
      <c r="G6" s="33">
        <v>0</v>
      </c>
      <c r="H6" s="34">
        <f t="shared" si="0"/>
        <v>1390</v>
      </c>
      <c r="I6" s="10"/>
      <c r="J6" s="10"/>
      <c r="K6" s="10"/>
      <c r="L6" s="35"/>
      <c r="M6" s="35"/>
    </row>
    <row r="7" ht="19" customHeight="1" spans="1:13">
      <c r="A7" s="36"/>
      <c r="B7" s="10">
        <v>3</v>
      </c>
      <c r="C7" s="32" t="s">
        <v>23</v>
      </c>
      <c r="D7" s="32" t="s">
        <v>160</v>
      </c>
      <c r="E7" s="10"/>
      <c r="F7" s="33">
        <v>636</v>
      </c>
      <c r="G7" s="33">
        <v>0</v>
      </c>
      <c r="H7" s="34">
        <f t="shared" si="0"/>
        <v>636</v>
      </c>
      <c r="I7" s="10"/>
      <c r="J7" s="37"/>
      <c r="K7" s="10"/>
      <c r="L7" s="35"/>
      <c r="M7" s="35"/>
    </row>
    <row r="8" ht="19" customHeight="1" spans="1:13">
      <c r="A8" s="36"/>
      <c r="B8" s="10">
        <v>4</v>
      </c>
      <c r="C8" s="32" t="s">
        <v>51</v>
      </c>
      <c r="D8" s="32" t="s">
        <v>160</v>
      </c>
      <c r="E8" s="10"/>
      <c r="F8" s="33">
        <v>0</v>
      </c>
      <c r="G8" s="33">
        <v>50</v>
      </c>
      <c r="H8" s="34">
        <f t="shared" si="0"/>
        <v>50</v>
      </c>
      <c r="I8" s="10"/>
      <c r="J8" s="37"/>
      <c r="K8" s="10"/>
      <c r="L8" s="35"/>
      <c r="M8" s="35"/>
    </row>
    <row r="9" ht="19" customHeight="1" spans="1:13">
      <c r="A9" s="36"/>
      <c r="B9" s="10">
        <v>5</v>
      </c>
      <c r="C9" s="32" t="s">
        <v>13</v>
      </c>
      <c r="D9" s="32" t="s">
        <v>161</v>
      </c>
      <c r="E9" s="10" t="s">
        <v>71</v>
      </c>
      <c r="F9" s="33">
        <v>53.86</v>
      </c>
      <c r="G9" s="33">
        <v>0</v>
      </c>
      <c r="H9" s="34">
        <f t="shared" si="0"/>
        <v>53.86</v>
      </c>
      <c r="I9" s="10"/>
      <c r="J9" s="37"/>
      <c r="K9" s="10"/>
      <c r="L9" s="35"/>
      <c r="M9" s="35"/>
    </row>
    <row r="10" ht="19" customHeight="1" spans="1:13">
      <c r="A10" s="31">
        <v>45064</v>
      </c>
      <c r="B10" s="10">
        <v>6</v>
      </c>
      <c r="C10" s="32" t="s">
        <v>13</v>
      </c>
      <c r="D10" s="32" t="s">
        <v>161</v>
      </c>
      <c r="E10" s="10" t="s">
        <v>91</v>
      </c>
      <c r="F10" s="33">
        <v>46.39</v>
      </c>
      <c r="G10" s="33">
        <v>0</v>
      </c>
      <c r="H10" s="34">
        <f t="shared" si="0"/>
        <v>46.39</v>
      </c>
      <c r="I10" s="10"/>
      <c r="J10" s="37"/>
      <c r="K10" s="10"/>
      <c r="L10" s="35"/>
      <c r="M10" s="35"/>
    </row>
    <row r="11" ht="19" customHeight="1" spans="1:13">
      <c r="A11" s="36"/>
      <c r="B11" s="10">
        <v>7</v>
      </c>
      <c r="C11" s="32" t="s">
        <v>51</v>
      </c>
      <c r="D11" s="32" t="s">
        <v>160</v>
      </c>
      <c r="E11" s="10"/>
      <c r="F11" s="33">
        <v>0</v>
      </c>
      <c r="G11" s="33">
        <v>50</v>
      </c>
      <c r="H11" s="34">
        <f t="shared" si="0"/>
        <v>50</v>
      </c>
      <c r="I11" s="10"/>
      <c r="J11" s="37"/>
      <c r="K11" s="10"/>
      <c r="L11" s="35"/>
      <c r="M11" s="35"/>
    </row>
    <row r="12" ht="19" customHeight="1" spans="1:13">
      <c r="A12" s="36"/>
      <c r="B12" s="10">
        <v>8</v>
      </c>
      <c r="C12" s="32" t="s">
        <v>13</v>
      </c>
      <c r="D12" s="32" t="s">
        <v>161</v>
      </c>
      <c r="E12" s="10" t="s">
        <v>162</v>
      </c>
      <c r="F12" s="33">
        <v>49.98</v>
      </c>
      <c r="G12" s="33">
        <v>0</v>
      </c>
      <c r="H12" s="34">
        <f t="shared" si="0"/>
        <v>49.98</v>
      </c>
      <c r="I12" s="10"/>
      <c r="J12" s="37"/>
      <c r="K12" s="10"/>
      <c r="L12" s="35"/>
      <c r="M12" s="35"/>
    </row>
    <row r="13" ht="19" customHeight="1" spans="1:13">
      <c r="A13" s="36"/>
      <c r="B13" s="10">
        <v>9</v>
      </c>
      <c r="C13" s="32" t="s">
        <v>13</v>
      </c>
      <c r="D13" s="32" t="s">
        <v>161</v>
      </c>
      <c r="E13" s="10" t="s">
        <v>163</v>
      </c>
      <c r="F13" s="33">
        <v>16.42</v>
      </c>
      <c r="G13" s="33">
        <v>0</v>
      </c>
      <c r="H13" s="34">
        <f t="shared" ref="H13:H18" si="1">SUM(F13:G13)</f>
        <v>16.42</v>
      </c>
      <c r="I13" s="10"/>
      <c r="J13" s="37"/>
      <c r="K13" s="10"/>
      <c r="L13" s="35"/>
      <c r="M13" s="35"/>
    </row>
    <row r="14" ht="19" customHeight="1" spans="1:13">
      <c r="A14" s="36"/>
      <c r="B14" s="10">
        <v>10</v>
      </c>
      <c r="C14" s="32" t="s">
        <v>13</v>
      </c>
      <c r="D14" s="32" t="s">
        <v>161</v>
      </c>
      <c r="E14" s="10" t="s">
        <v>164</v>
      </c>
      <c r="F14" s="33">
        <v>17.4</v>
      </c>
      <c r="G14" s="33">
        <v>0</v>
      </c>
      <c r="H14" s="34">
        <f t="shared" si="1"/>
        <v>17.4</v>
      </c>
      <c r="I14" s="10"/>
      <c r="J14" s="37"/>
      <c r="K14" s="10"/>
      <c r="L14" s="35"/>
      <c r="M14" s="35"/>
    </row>
    <row r="15" ht="19" customHeight="1" spans="1:13">
      <c r="A15" s="38"/>
      <c r="B15" s="10">
        <v>11</v>
      </c>
      <c r="C15" s="32" t="s">
        <v>13</v>
      </c>
      <c r="D15" s="32" t="s">
        <v>161</v>
      </c>
      <c r="E15" s="10" t="s">
        <v>163</v>
      </c>
      <c r="F15" s="33">
        <v>16.21</v>
      </c>
      <c r="G15" s="33">
        <v>0</v>
      </c>
      <c r="H15" s="34">
        <f t="shared" si="1"/>
        <v>16.21</v>
      </c>
      <c r="I15" s="10"/>
      <c r="J15" s="37"/>
      <c r="K15" s="10"/>
      <c r="L15" s="35"/>
      <c r="M15" s="35"/>
    </row>
    <row r="16" ht="19" customHeight="1" spans="1:13">
      <c r="A16" s="38">
        <v>45065</v>
      </c>
      <c r="B16" s="10"/>
      <c r="C16" s="32" t="s">
        <v>51</v>
      </c>
      <c r="D16" s="32" t="s">
        <v>160</v>
      </c>
      <c r="E16" s="10"/>
      <c r="F16" s="33">
        <v>0</v>
      </c>
      <c r="G16" s="33">
        <v>50</v>
      </c>
      <c r="H16" s="34">
        <f t="shared" si="1"/>
        <v>50</v>
      </c>
      <c r="I16" s="10"/>
      <c r="J16" s="37"/>
      <c r="K16" s="10"/>
      <c r="L16" s="35"/>
      <c r="M16" s="35"/>
    </row>
    <row r="17" ht="19" customHeight="1" spans="1:13">
      <c r="A17" s="31">
        <v>45066</v>
      </c>
      <c r="B17" s="10">
        <v>8</v>
      </c>
      <c r="C17" s="32" t="s">
        <v>13</v>
      </c>
      <c r="D17" s="32" t="s">
        <v>161</v>
      </c>
      <c r="E17" s="10" t="s">
        <v>91</v>
      </c>
      <c r="F17" s="33">
        <v>45.26</v>
      </c>
      <c r="G17" s="33">
        <v>0</v>
      </c>
      <c r="H17" s="34">
        <f t="shared" si="1"/>
        <v>45.26</v>
      </c>
      <c r="I17" s="10"/>
      <c r="J17" s="37"/>
      <c r="K17" s="10"/>
      <c r="L17" s="35"/>
      <c r="M17" s="35"/>
    </row>
    <row r="18" ht="19" customHeight="1" spans="1:13">
      <c r="A18" s="38"/>
      <c r="B18" s="10"/>
      <c r="C18" s="32" t="s">
        <v>51</v>
      </c>
      <c r="D18" s="32" t="s">
        <v>160</v>
      </c>
      <c r="E18" s="10"/>
      <c r="F18" s="33">
        <v>0</v>
      </c>
      <c r="G18" s="33">
        <v>50</v>
      </c>
      <c r="H18" s="34">
        <f t="shared" si="1"/>
        <v>50</v>
      </c>
      <c r="I18" s="10"/>
      <c r="J18" s="37"/>
      <c r="K18" s="10"/>
      <c r="L18" s="35"/>
      <c r="M18" s="35"/>
    </row>
    <row r="19" ht="19" customHeight="1" spans="1:13">
      <c r="A19" s="39">
        <v>45067</v>
      </c>
      <c r="B19" s="10">
        <v>11</v>
      </c>
      <c r="C19" s="32" t="s">
        <v>13</v>
      </c>
      <c r="D19" s="32" t="s">
        <v>14</v>
      </c>
      <c r="E19" s="10" t="s">
        <v>43</v>
      </c>
      <c r="F19" s="33">
        <v>123.48</v>
      </c>
      <c r="G19" s="33">
        <v>0</v>
      </c>
      <c r="H19" s="34">
        <f t="shared" ref="H19:H21" si="2">SUM(F19:G19)</f>
        <v>123.48</v>
      </c>
      <c r="I19" s="10"/>
      <c r="J19" s="37"/>
      <c r="K19" s="10"/>
      <c r="L19" s="35"/>
      <c r="M19" s="35"/>
    </row>
    <row r="20" ht="19" customHeight="1" spans="1:13">
      <c r="A20" s="39"/>
      <c r="B20" s="10"/>
      <c r="C20" s="32" t="s">
        <v>13</v>
      </c>
      <c r="D20" s="32" t="s">
        <v>161</v>
      </c>
      <c r="E20" s="10" t="s">
        <v>77</v>
      </c>
      <c r="F20" s="33">
        <v>59.86</v>
      </c>
      <c r="G20" s="33">
        <v>0</v>
      </c>
      <c r="H20" s="34">
        <f t="shared" si="2"/>
        <v>59.86</v>
      </c>
      <c r="I20" s="10"/>
      <c r="J20" s="37"/>
      <c r="K20" s="10"/>
      <c r="L20" s="35"/>
      <c r="M20" s="35"/>
    </row>
    <row r="21" ht="19" customHeight="1" spans="1:13">
      <c r="A21" s="39"/>
      <c r="B21" s="10"/>
      <c r="C21" s="32" t="s">
        <v>51</v>
      </c>
      <c r="D21" s="32" t="s">
        <v>160</v>
      </c>
      <c r="E21" s="10"/>
      <c r="F21" s="33">
        <v>0</v>
      </c>
      <c r="G21" s="33">
        <v>50</v>
      </c>
      <c r="H21" s="34">
        <f t="shared" si="2"/>
        <v>50</v>
      </c>
      <c r="I21" s="10"/>
      <c r="J21" s="37"/>
      <c r="K21" s="10"/>
      <c r="L21" s="35"/>
      <c r="M21" s="35"/>
    </row>
    <row r="22" ht="19" customHeight="1" spans="1:13">
      <c r="A22" s="39"/>
      <c r="B22" s="10">
        <v>12</v>
      </c>
      <c r="C22" s="32" t="s">
        <v>17</v>
      </c>
      <c r="D22" s="32" t="s">
        <v>158</v>
      </c>
      <c r="E22" s="10" t="s">
        <v>165</v>
      </c>
      <c r="F22" s="33">
        <v>1240</v>
      </c>
      <c r="G22" s="33">
        <v>0</v>
      </c>
      <c r="H22" s="34">
        <f t="shared" ref="H22:H29" si="3">SUM(F22:G22)</f>
        <v>1240</v>
      </c>
      <c r="I22" s="10"/>
      <c r="J22" s="37"/>
      <c r="K22" s="10"/>
      <c r="L22" s="35"/>
      <c r="M22" s="35"/>
    </row>
    <row r="23" ht="19" customHeight="1" spans="1:13">
      <c r="A23" s="42" t="s">
        <v>56</v>
      </c>
      <c r="B23" s="43"/>
      <c r="C23" s="43"/>
      <c r="D23" s="43"/>
      <c r="E23" s="44"/>
      <c r="F23" s="45">
        <f>SUM(F5:F22)</f>
        <v>3721.41</v>
      </c>
      <c r="G23" s="45">
        <f>SUM(G5:G22)</f>
        <v>250</v>
      </c>
      <c r="H23" s="46">
        <f>SUM(H5:H22)</f>
        <v>3971.41</v>
      </c>
      <c r="I23" s="26"/>
      <c r="J23" s="47"/>
      <c r="K23" s="10"/>
      <c r="L23" s="35"/>
      <c r="M23" s="35"/>
    </row>
    <row r="24" spans="1:13">
      <c r="A24" s="48"/>
      <c r="B24" s="49"/>
      <c r="C24" s="49"/>
      <c r="D24" s="49"/>
      <c r="E24" s="49"/>
      <c r="F24" s="49"/>
      <c r="G24" s="50"/>
      <c r="H24" s="50"/>
      <c r="I24" s="49"/>
      <c r="J24" s="51"/>
      <c r="K24" s="49"/>
      <c r="L24" s="49"/>
      <c r="M24" s="49"/>
    </row>
    <row r="25" spans="1:13">
      <c r="A25" s="52"/>
      <c r="B25" s="52"/>
      <c r="C25" s="52"/>
      <c r="D25" s="52"/>
      <c r="E25" s="52"/>
      <c r="F25" s="52"/>
      <c r="G25" s="13" t="s">
        <v>59</v>
      </c>
    </row>
    <row r="26" spans="1:13">
      <c r="A26" s="52"/>
      <c r="B26" s="52"/>
      <c r="C26" s="52"/>
      <c r="D26" s="52"/>
      <c r="E26" s="52"/>
      <c r="F26" s="52"/>
    </row>
    <row r="27" spans="1:13">
      <c r="A27" s="53" t="s">
        <v>57</v>
      </c>
      <c r="B27" s="32" t="s">
        <v>23</v>
      </c>
      <c r="C27" s="54">
        <v>0</v>
      </c>
      <c r="E27" s="10" t="s">
        <v>3</v>
      </c>
      <c r="F27" s="10" t="s">
        <v>6</v>
      </c>
      <c r="G27" s="55" t="s">
        <v>58</v>
      </c>
    </row>
    <row r="28" spans="1:13">
      <c r="A28" s="56"/>
      <c r="B28" s="32" t="s">
        <v>17</v>
      </c>
      <c r="C28" s="54">
        <v>0</v>
      </c>
      <c r="D28" s="57"/>
      <c r="E28" s="10" t="s">
        <v>60</v>
      </c>
      <c r="F28" s="58">
        <v>0</v>
      </c>
      <c r="G28" s="58">
        <f t="shared" ref="G28:G33" si="4">F28</f>
        <v>0</v>
      </c>
    </row>
    <row r="29" spans="1:13">
      <c r="A29" s="56"/>
      <c r="B29" s="32" t="s">
        <v>13</v>
      </c>
      <c r="C29" s="54">
        <v>0</v>
      </c>
      <c r="D29" s="57"/>
      <c r="E29" s="10" t="s">
        <v>61</v>
      </c>
      <c r="F29" s="58">
        <f>F23</f>
        <v>3721.41</v>
      </c>
      <c r="G29" s="58">
        <f>F29+F30</f>
        <v>3721.41</v>
      </c>
    </row>
    <row r="30" spans="1:13">
      <c r="A30" s="56"/>
      <c r="B30" s="32" t="s">
        <v>62</v>
      </c>
      <c r="C30" s="54">
        <v>0</v>
      </c>
      <c r="D30" s="57"/>
      <c r="E30" s="10" t="s">
        <v>63</v>
      </c>
      <c r="F30" s="58">
        <v>0</v>
      </c>
      <c r="G30" s="58"/>
    </row>
    <row r="31" spans="1:13">
      <c r="A31" s="56"/>
      <c r="B31" s="32" t="s">
        <v>51</v>
      </c>
      <c r="C31" s="54">
        <v>250</v>
      </c>
      <c r="D31" s="57"/>
      <c r="E31" s="10" t="s">
        <v>64</v>
      </c>
      <c r="F31" s="58">
        <f>G23</f>
        <v>250</v>
      </c>
      <c r="G31" s="58">
        <f t="shared" si="4"/>
        <v>250</v>
      </c>
    </row>
    <row r="32" spans="1:13">
      <c r="A32" s="56"/>
      <c r="B32" s="32" t="s">
        <v>54</v>
      </c>
      <c r="C32" s="59">
        <v>0</v>
      </c>
      <c r="D32" s="57"/>
      <c r="E32" s="10" t="s">
        <v>65</v>
      </c>
      <c r="F32" s="58">
        <f>F28-F31</f>
        <v>-250</v>
      </c>
      <c r="G32" s="58">
        <f t="shared" si="4"/>
        <v>-250</v>
      </c>
    </row>
    <row r="33" spans="1:7">
      <c r="A33" s="60"/>
      <c r="B33" s="6" t="s">
        <v>56</v>
      </c>
      <c r="C33" s="6">
        <f>SUM(C27:C32)</f>
        <v>250</v>
      </c>
      <c r="D33" s="57"/>
      <c r="E33" s="10" t="s">
        <v>66</v>
      </c>
      <c r="F33" s="58">
        <v>0</v>
      </c>
      <c r="G33" s="58">
        <f t="shared" si="4"/>
        <v>0</v>
      </c>
    </row>
    <row r="34" spans="1:7">
      <c r="D34" s="3"/>
    </row>
    <row r="35" spans="1:7">
      <c r="A35" s="61" t="s">
        <v>58</v>
      </c>
      <c r="B35" s="32" t="s">
        <v>23</v>
      </c>
      <c r="C35" s="59">
        <f ca="1" t="shared" ref="C35:C40" si="5">SUMIF($C$5:$H$22,B27,$H$5:$H$22)</f>
        <v>636</v>
      </c>
    </row>
    <row r="36" spans="1:7">
      <c r="A36" s="62"/>
      <c r="B36" s="32" t="s">
        <v>17</v>
      </c>
      <c r="C36" s="59">
        <f ca="1" t="shared" si="5"/>
        <v>2630</v>
      </c>
    </row>
    <row r="37" spans="1:7">
      <c r="A37" s="62"/>
      <c r="B37" s="32" t="s">
        <v>13</v>
      </c>
      <c r="C37" s="59">
        <f ca="1" t="shared" si="5"/>
        <v>455.41</v>
      </c>
    </row>
    <row r="38" spans="1:7">
      <c r="A38" s="62"/>
      <c r="B38" s="32" t="s">
        <v>62</v>
      </c>
      <c r="C38" s="59">
        <f ca="1" t="shared" si="5"/>
        <v>0</v>
      </c>
    </row>
    <row r="39" spans="1:7">
      <c r="A39" s="62"/>
      <c r="B39" s="32" t="s">
        <v>51</v>
      </c>
      <c r="C39" s="59">
        <f ca="1" t="shared" si="5"/>
        <v>250</v>
      </c>
    </row>
    <row r="40" spans="1:7">
      <c r="A40" s="62"/>
      <c r="B40" s="32" t="s">
        <v>54</v>
      </c>
      <c r="C40" s="59">
        <f ca="1" t="shared" si="5"/>
        <v>0</v>
      </c>
    </row>
    <row r="41" spans="1:7">
      <c r="A41" s="63"/>
      <c r="B41" s="6" t="s">
        <v>56</v>
      </c>
      <c r="C41" s="6">
        <f ca="1">SUM(C35:C40)</f>
        <v>3971.41</v>
      </c>
    </row>
  </sheetData>
  <autoFilter xmlns:etc="http://www.wps.cn/officeDocument/2017/etCustomData" ref="A4:M23" etc:filterBottomFollowUsedRange="0">
    <extLst/>
  </autoFilter>
  <mergeCells count="19">
    <mergeCell ref="A1:J1"/>
    <mergeCell ref="F3:H3"/>
    <mergeCell ref="A23:E23"/>
    <mergeCell ref="A25:E25"/>
    <mergeCell ref="A3:A4"/>
    <mergeCell ref="A5:A9"/>
    <mergeCell ref="A10:A15"/>
    <mergeCell ref="A17:A18"/>
    <mergeCell ref="A19:A22"/>
    <mergeCell ref="A27:A33"/>
    <mergeCell ref="A35:A41"/>
    <mergeCell ref="B3:B4"/>
    <mergeCell ref="C3:C4"/>
    <mergeCell ref="D3:D4"/>
    <mergeCell ref="E3:E4"/>
    <mergeCell ref="G29:G30"/>
    <mergeCell ref="I3:I4"/>
    <mergeCell ref="J3:J4"/>
    <mergeCell ref="K3:M4"/>
  </mergeCells>
  <printOptions horizontalCentered="1"/>
  <pageMargins left="0.2" right="0.180555555555556" top="0.16875" bottom="0.207638888888889" header="0.16875" footer="0.16875"/>
  <pageSetup paperSize="9" scale="75" orientation="landscape" horizontalDpi="6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6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G21" sqref="G21"/>
    </sheetView>
  </sheetViews>
  <sheetFormatPr defaultColWidth="9" defaultRowHeight="16.8"/>
  <cols>
    <col min="1" max="1" width="11.625" style="12" customWidth="1"/>
    <col min="2" max="2" width="11.875" style="12" customWidth="1"/>
    <col min="3" max="3" width="11.125" style="12" customWidth="1"/>
    <col min="4" max="4" width="14.9038461538462" style="12" customWidth="1"/>
    <col min="5" max="5" width="26.125" style="12" customWidth="1"/>
    <col min="6" max="6" width="10.75" style="12" customWidth="1"/>
    <col min="7" max="7" width="9.75" style="13" customWidth="1"/>
    <col min="8" max="8" width="11.375" style="13" customWidth="1"/>
    <col min="9" max="9" width="10" style="12" customWidth="1"/>
    <col min="10" max="10" width="59.7692307692308" style="14" customWidth="1"/>
    <col min="11" max="11" width="7.375" style="3" customWidth="1"/>
    <col min="12" max="13" width="7.375" style="12" customWidth="1"/>
    <col min="14" max="16384" width="9.06730769230769" style="12"/>
  </cols>
  <sheetData>
    <row r="1" ht="17.6" spans="1:13">
      <c r="A1" s="15" t="s">
        <v>156</v>
      </c>
      <c r="B1" s="15"/>
      <c r="C1" s="15"/>
      <c r="D1" s="15"/>
      <c r="E1" s="15"/>
      <c r="F1" s="15"/>
      <c r="G1" s="15"/>
      <c r="H1" s="15"/>
      <c r="I1" s="15"/>
      <c r="J1" s="15"/>
    </row>
    <row r="2" ht="17.6" spans="1:13">
      <c r="A2" s="15"/>
      <c r="B2" s="15"/>
      <c r="C2" s="15"/>
      <c r="D2" s="15"/>
      <c r="E2" s="15"/>
      <c r="F2" s="15"/>
      <c r="G2" s="15"/>
      <c r="H2" s="15"/>
      <c r="I2" s="15"/>
      <c r="J2" s="15"/>
    </row>
    <row r="3" ht="19" customHeight="1" spans="1:13">
      <c r="A3" s="16" t="s">
        <v>1</v>
      </c>
      <c r="B3" s="16" t="s">
        <v>2</v>
      </c>
      <c r="C3" s="16" t="s">
        <v>3</v>
      </c>
      <c r="D3" s="17" t="s">
        <v>4</v>
      </c>
      <c r="E3" s="16" t="s">
        <v>5</v>
      </c>
      <c r="F3" s="18" t="s">
        <v>6</v>
      </c>
      <c r="G3" s="19"/>
      <c r="H3" s="20"/>
      <c r="I3" s="16" t="s">
        <v>7</v>
      </c>
      <c r="J3" s="17" t="s">
        <v>8</v>
      </c>
      <c r="K3" s="21" t="s">
        <v>9</v>
      </c>
      <c r="L3" s="22"/>
      <c r="M3" s="23"/>
    </row>
    <row r="4" ht="19" customHeight="1" spans="1:13">
      <c r="A4" s="24"/>
      <c r="B4" s="24"/>
      <c r="C4" s="24"/>
      <c r="D4" s="25"/>
      <c r="E4" s="24"/>
      <c r="F4" s="26" t="s">
        <v>10</v>
      </c>
      <c r="G4" s="27" t="s">
        <v>11</v>
      </c>
      <c r="H4" s="27" t="s">
        <v>12</v>
      </c>
      <c r="I4" s="24"/>
      <c r="J4" s="25"/>
      <c r="K4" s="28"/>
      <c r="L4" s="29"/>
      <c r="M4" s="30"/>
    </row>
    <row r="5" ht="19" customHeight="1" spans="1:13">
      <c r="A5" s="31">
        <v>45022</v>
      </c>
      <c r="B5" s="10">
        <v>1</v>
      </c>
      <c r="C5" s="32" t="s">
        <v>13</v>
      </c>
      <c r="D5" s="32" t="s">
        <v>14</v>
      </c>
      <c r="E5" s="10" t="s">
        <v>15</v>
      </c>
      <c r="F5" s="33">
        <v>12</v>
      </c>
      <c r="G5" s="33" t="s">
        <v>28</v>
      </c>
      <c r="H5" s="34">
        <f t="shared" ref="H5:H21" si="0">SUM(F5:G5)</f>
        <v>12</v>
      </c>
      <c r="I5" s="10"/>
      <c r="J5" s="10" t="s">
        <v>166</v>
      </c>
      <c r="K5" s="10"/>
      <c r="L5" s="35"/>
      <c r="M5" s="35"/>
    </row>
    <row r="6" ht="19" customHeight="1" spans="1:13">
      <c r="A6" s="36"/>
      <c r="B6" s="10">
        <v>2</v>
      </c>
      <c r="C6" s="32" t="s">
        <v>17</v>
      </c>
      <c r="D6" s="32" t="s">
        <v>18</v>
      </c>
      <c r="E6" s="10" t="s">
        <v>167</v>
      </c>
      <c r="F6" s="33">
        <v>1350</v>
      </c>
      <c r="G6" s="33" t="s">
        <v>28</v>
      </c>
      <c r="H6" s="34">
        <f t="shared" si="0"/>
        <v>1350</v>
      </c>
      <c r="I6" s="10"/>
      <c r="J6" s="10"/>
      <c r="K6" s="10"/>
      <c r="L6" s="35"/>
      <c r="M6" s="35"/>
    </row>
    <row r="7" ht="19" customHeight="1" spans="1:13">
      <c r="A7" s="36"/>
      <c r="B7" s="10">
        <v>3</v>
      </c>
      <c r="C7" s="32" t="s">
        <v>23</v>
      </c>
      <c r="D7" s="32" t="s">
        <v>168</v>
      </c>
      <c r="E7" s="10" t="s">
        <v>28</v>
      </c>
      <c r="F7" s="33">
        <v>1080</v>
      </c>
      <c r="G7" s="33">
        <v>240</v>
      </c>
      <c r="H7" s="34">
        <f t="shared" si="0"/>
        <v>1320</v>
      </c>
      <c r="I7" s="10"/>
      <c r="J7" s="37" t="s">
        <v>169</v>
      </c>
      <c r="K7" s="10"/>
      <c r="L7" s="35"/>
      <c r="M7" s="35"/>
    </row>
    <row r="8" ht="19" customHeight="1" spans="1:13">
      <c r="A8" s="36"/>
      <c r="B8" s="10">
        <v>4</v>
      </c>
      <c r="C8" s="32" t="s">
        <v>51</v>
      </c>
      <c r="D8" s="32" t="s">
        <v>168</v>
      </c>
      <c r="E8" s="10" t="s">
        <v>28</v>
      </c>
      <c r="F8" s="33" t="s">
        <v>28</v>
      </c>
      <c r="G8" s="33">
        <v>50</v>
      </c>
      <c r="H8" s="34">
        <f t="shared" si="0"/>
        <v>50</v>
      </c>
      <c r="I8" s="10"/>
      <c r="J8" s="37"/>
      <c r="K8" s="10"/>
      <c r="L8" s="35"/>
      <c r="M8" s="35"/>
    </row>
    <row r="9" ht="19" customHeight="1" spans="1:13">
      <c r="A9" s="36"/>
      <c r="B9" s="10">
        <v>5</v>
      </c>
      <c r="C9" s="32" t="s">
        <v>13</v>
      </c>
      <c r="D9" s="32" t="s">
        <v>170</v>
      </c>
      <c r="E9" s="10" t="s">
        <v>71</v>
      </c>
      <c r="F9" s="33">
        <v>222.22</v>
      </c>
      <c r="G9" s="33" t="s">
        <v>28</v>
      </c>
      <c r="H9" s="34">
        <f t="shared" si="0"/>
        <v>222.22</v>
      </c>
      <c r="I9" s="10"/>
      <c r="J9" s="37"/>
      <c r="K9" s="10"/>
      <c r="L9" s="35"/>
      <c r="M9" s="35"/>
    </row>
    <row r="10" ht="19" customHeight="1" spans="1:13">
      <c r="A10" s="39">
        <v>45023</v>
      </c>
      <c r="B10" s="10">
        <v>6</v>
      </c>
      <c r="C10" s="32" t="s">
        <v>13</v>
      </c>
      <c r="D10" s="32" t="s">
        <v>171</v>
      </c>
      <c r="E10" s="10" t="s">
        <v>172</v>
      </c>
      <c r="F10" s="33" t="s">
        <v>28</v>
      </c>
      <c r="G10" s="33">
        <v>67</v>
      </c>
      <c r="H10" s="34">
        <f t="shared" si="0"/>
        <v>67</v>
      </c>
      <c r="I10" s="10"/>
      <c r="J10" s="37" t="s">
        <v>173</v>
      </c>
      <c r="K10" s="10"/>
      <c r="L10" s="35"/>
      <c r="M10" s="35"/>
    </row>
    <row r="11" ht="19" customHeight="1" spans="1:13">
      <c r="A11" s="39"/>
      <c r="B11" s="10">
        <v>7</v>
      </c>
      <c r="C11" s="32" t="s">
        <v>51</v>
      </c>
      <c r="D11" s="32" t="s">
        <v>168</v>
      </c>
      <c r="E11" s="10"/>
      <c r="F11" s="33" t="s">
        <v>28</v>
      </c>
      <c r="G11" s="33">
        <v>30</v>
      </c>
      <c r="H11" s="34">
        <f t="shared" si="0"/>
        <v>30</v>
      </c>
      <c r="I11" s="10"/>
      <c r="J11" s="37" t="s">
        <v>174</v>
      </c>
      <c r="K11" s="10"/>
      <c r="L11" s="35"/>
      <c r="M11" s="35"/>
    </row>
    <row r="12" ht="19" customHeight="1" spans="1:13">
      <c r="A12" s="39">
        <v>45024</v>
      </c>
      <c r="B12" s="10">
        <v>8</v>
      </c>
      <c r="C12" s="32" t="s">
        <v>13</v>
      </c>
      <c r="D12" s="32" t="s">
        <v>170</v>
      </c>
      <c r="E12" s="10" t="s">
        <v>175</v>
      </c>
      <c r="F12" s="33">
        <v>16.9</v>
      </c>
      <c r="G12" s="33" t="s">
        <v>28</v>
      </c>
      <c r="H12" s="34">
        <f t="shared" si="0"/>
        <v>16.9</v>
      </c>
      <c r="I12" s="10"/>
      <c r="J12" s="37"/>
      <c r="K12" s="10"/>
      <c r="L12" s="35"/>
      <c r="M12" s="35"/>
    </row>
    <row r="13" ht="19" customHeight="1" spans="1:13">
      <c r="A13" s="39"/>
      <c r="B13" s="10">
        <v>9</v>
      </c>
      <c r="C13" s="32" t="s">
        <v>13</v>
      </c>
      <c r="D13" s="32" t="s">
        <v>170</v>
      </c>
      <c r="E13" s="10" t="s">
        <v>176</v>
      </c>
      <c r="F13" s="33">
        <v>16.31</v>
      </c>
      <c r="G13" s="33" t="s">
        <v>28</v>
      </c>
      <c r="H13" s="34">
        <f t="shared" si="0"/>
        <v>16.31</v>
      </c>
      <c r="I13" s="10"/>
      <c r="J13" s="37"/>
      <c r="K13" s="10"/>
      <c r="L13" s="35"/>
      <c r="M13" s="35"/>
    </row>
    <row r="14" ht="19" customHeight="1" spans="1:13">
      <c r="A14" s="39"/>
      <c r="B14" s="10">
        <v>10</v>
      </c>
      <c r="C14" s="32" t="s">
        <v>13</v>
      </c>
      <c r="D14" s="32" t="s">
        <v>170</v>
      </c>
      <c r="E14" s="10" t="s">
        <v>148</v>
      </c>
      <c r="F14" s="33">
        <v>23.41</v>
      </c>
      <c r="G14" s="33" t="s">
        <v>28</v>
      </c>
      <c r="H14" s="34">
        <f t="shared" si="0"/>
        <v>23.41</v>
      </c>
      <c r="I14" s="10"/>
      <c r="J14" s="37"/>
      <c r="K14" s="10"/>
      <c r="L14" s="35"/>
      <c r="M14" s="35"/>
    </row>
    <row r="15" ht="19" customHeight="1" spans="1:13">
      <c r="A15" s="39">
        <v>45025</v>
      </c>
      <c r="B15" s="10">
        <v>11</v>
      </c>
      <c r="C15" s="32" t="s">
        <v>13</v>
      </c>
      <c r="D15" s="32" t="s">
        <v>170</v>
      </c>
      <c r="E15" s="10" t="s">
        <v>175</v>
      </c>
      <c r="F15" s="33">
        <v>14.98</v>
      </c>
      <c r="G15" s="33" t="s">
        <v>28</v>
      </c>
      <c r="H15" s="34">
        <f t="shared" si="0"/>
        <v>14.98</v>
      </c>
      <c r="I15" s="10"/>
      <c r="J15" s="37"/>
      <c r="K15" s="10"/>
      <c r="L15" s="35"/>
      <c r="M15" s="35"/>
    </row>
    <row r="16" ht="19" customHeight="1" spans="1:13">
      <c r="A16" s="39"/>
      <c r="B16" s="10">
        <v>12</v>
      </c>
      <c r="C16" s="32" t="s">
        <v>13</v>
      </c>
      <c r="D16" s="32" t="s">
        <v>170</v>
      </c>
      <c r="E16" s="10" t="s">
        <v>176</v>
      </c>
      <c r="F16" s="33">
        <v>15.25</v>
      </c>
      <c r="G16" s="33" t="s">
        <v>28</v>
      </c>
      <c r="H16" s="34">
        <f t="shared" si="0"/>
        <v>15.25</v>
      </c>
      <c r="I16" s="10"/>
      <c r="J16" s="37"/>
      <c r="K16" s="10"/>
      <c r="L16" s="35"/>
      <c r="M16" s="35"/>
    </row>
    <row r="17" ht="19" customHeight="1" spans="1:13">
      <c r="A17" s="39">
        <v>45026</v>
      </c>
      <c r="B17" s="10">
        <v>13</v>
      </c>
      <c r="C17" s="32" t="s">
        <v>13</v>
      </c>
      <c r="D17" s="32" t="s">
        <v>170</v>
      </c>
      <c r="E17" s="10" t="s">
        <v>148</v>
      </c>
      <c r="F17" s="33">
        <v>23.71</v>
      </c>
      <c r="G17" s="33" t="s">
        <v>28</v>
      </c>
      <c r="H17" s="34">
        <f t="shared" si="0"/>
        <v>23.71</v>
      </c>
      <c r="I17" s="10"/>
      <c r="J17" s="37"/>
      <c r="K17" s="10"/>
      <c r="L17" s="35"/>
      <c r="M17" s="35"/>
    </row>
    <row r="18" ht="19" customHeight="1" spans="1:13">
      <c r="A18" s="39"/>
      <c r="B18" s="10">
        <v>14</v>
      </c>
      <c r="C18" s="32" t="s">
        <v>13</v>
      </c>
      <c r="D18" s="32" t="s">
        <v>170</v>
      </c>
      <c r="E18" s="10" t="s">
        <v>175</v>
      </c>
      <c r="F18" s="33">
        <v>19.39</v>
      </c>
      <c r="G18" s="33" t="s">
        <v>28</v>
      </c>
      <c r="H18" s="34">
        <f t="shared" si="0"/>
        <v>19.39</v>
      </c>
      <c r="I18" s="10"/>
      <c r="J18" s="37"/>
      <c r="K18" s="10"/>
      <c r="L18" s="35"/>
      <c r="M18" s="35"/>
    </row>
    <row r="19" ht="19" customHeight="1" spans="1:13">
      <c r="A19" s="39"/>
      <c r="B19" s="10">
        <v>15</v>
      </c>
      <c r="C19" s="32" t="s">
        <v>13</v>
      </c>
      <c r="D19" s="32" t="s">
        <v>170</v>
      </c>
      <c r="E19" s="10" t="s">
        <v>176</v>
      </c>
      <c r="F19" s="33">
        <v>15.1</v>
      </c>
      <c r="G19" s="33" t="s">
        <v>28</v>
      </c>
      <c r="H19" s="34">
        <f t="shared" si="0"/>
        <v>15.1</v>
      </c>
      <c r="I19" s="10"/>
      <c r="J19" s="37"/>
      <c r="K19" s="10"/>
      <c r="L19" s="35"/>
      <c r="M19" s="35"/>
    </row>
    <row r="20" ht="19" customHeight="1" spans="1:13">
      <c r="A20" s="39">
        <v>45027</v>
      </c>
      <c r="B20" s="10">
        <v>16</v>
      </c>
      <c r="C20" s="32" t="s">
        <v>13</v>
      </c>
      <c r="D20" s="32" t="s">
        <v>170</v>
      </c>
      <c r="E20" s="10" t="s">
        <v>148</v>
      </c>
      <c r="F20" s="33">
        <v>22.37</v>
      </c>
      <c r="G20" s="33" t="s">
        <v>28</v>
      </c>
      <c r="H20" s="34">
        <f t="shared" si="0"/>
        <v>22.37</v>
      </c>
      <c r="I20" s="10"/>
      <c r="J20" s="37"/>
      <c r="K20" s="10"/>
      <c r="L20" s="35"/>
      <c r="M20" s="35"/>
    </row>
    <row r="21" ht="19" customHeight="1" spans="1:13">
      <c r="A21" s="39"/>
      <c r="B21" s="10">
        <v>17</v>
      </c>
      <c r="C21" s="32" t="s">
        <v>13</v>
      </c>
      <c r="D21" s="32" t="s">
        <v>170</v>
      </c>
      <c r="E21" s="10" t="s">
        <v>175</v>
      </c>
      <c r="F21" s="33">
        <v>17.37</v>
      </c>
      <c r="G21" s="33" t="s">
        <v>28</v>
      </c>
      <c r="H21" s="34">
        <f t="shared" si="0"/>
        <v>17.37</v>
      </c>
      <c r="I21" s="10"/>
      <c r="J21" s="37"/>
      <c r="K21" s="10"/>
      <c r="L21" s="35"/>
      <c r="M21" s="35"/>
    </row>
    <row r="22" ht="19" customHeight="1" spans="1:13">
      <c r="A22" s="39"/>
      <c r="B22" s="10">
        <v>18</v>
      </c>
      <c r="C22" s="32" t="s">
        <v>13</v>
      </c>
      <c r="D22" s="32" t="s">
        <v>170</v>
      </c>
      <c r="E22" s="10" t="s">
        <v>176</v>
      </c>
      <c r="F22" s="33">
        <v>14.86</v>
      </c>
      <c r="G22" s="33" t="s">
        <v>28</v>
      </c>
      <c r="H22" s="34">
        <f t="shared" ref="H22:H27" si="1">SUM(F22:G22)</f>
        <v>14.86</v>
      </c>
      <c r="I22" s="10"/>
      <c r="J22" s="37"/>
      <c r="K22" s="10"/>
      <c r="L22" s="35"/>
      <c r="M22" s="35"/>
    </row>
    <row r="23" ht="19" customHeight="1" spans="1:13">
      <c r="A23" s="39"/>
      <c r="B23" s="10">
        <v>19</v>
      </c>
      <c r="C23" s="32" t="s">
        <v>13</v>
      </c>
      <c r="D23" s="32" t="s">
        <v>170</v>
      </c>
      <c r="E23" s="10" t="s">
        <v>177</v>
      </c>
      <c r="F23" s="33">
        <v>22.39</v>
      </c>
      <c r="G23" s="33" t="s">
        <v>28</v>
      </c>
      <c r="H23" s="34">
        <f t="shared" si="1"/>
        <v>22.39</v>
      </c>
      <c r="I23" s="10"/>
      <c r="J23" s="37"/>
      <c r="K23" s="10"/>
      <c r="L23" s="35"/>
      <c r="M23" s="35"/>
    </row>
    <row r="24" ht="19" customHeight="1" spans="1:13">
      <c r="A24" s="36">
        <v>45028</v>
      </c>
      <c r="B24" s="10">
        <v>20</v>
      </c>
      <c r="C24" s="32" t="s">
        <v>13</v>
      </c>
      <c r="D24" s="32" t="s">
        <v>170</v>
      </c>
      <c r="E24" s="10" t="s">
        <v>77</v>
      </c>
      <c r="F24" s="33">
        <v>164.16</v>
      </c>
      <c r="G24" s="33" t="s">
        <v>28</v>
      </c>
      <c r="H24" s="34">
        <f t="shared" si="1"/>
        <v>164.16</v>
      </c>
      <c r="I24" s="10"/>
      <c r="J24" s="37"/>
      <c r="K24" s="10"/>
      <c r="L24" s="35"/>
      <c r="M24" s="35"/>
    </row>
    <row r="25" ht="19" customHeight="1" spans="1:13">
      <c r="A25" s="36"/>
      <c r="B25" s="10">
        <v>21</v>
      </c>
      <c r="C25" s="32" t="s">
        <v>13</v>
      </c>
      <c r="D25" s="32" t="s">
        <v>170</v>
      </c>
      <c r="E25" s="10" t="s">
        <v>43</v>
      </c>
      <c r="F25" s="33">
        <v>105.39</v>
      </c>
      <c r="G25" s="33" t="s">
        <v>28</v>
      </c>
      <c r="H25" s="34">
        <f t="shared" si="1"/>
        <v>105.39</v>
      </c>
      <c r="I25" s="10"/>
      <c r="J25" s="37"/>
      <c r="K25" s="10"/>
      <c r="L25" s="35"/>
      <c r="M25" s="35"/>
    </row>
    <row r="26" ht="19" customHeight="1" spans="1:13">
      <c r="A26" s="36"/>
      <c r="B26" s="10">
        <v>22</v>
      </c>
      <c r="C26" s="32" t="s">
        <v>17</v>
      </c>
      <c r="D26" s="32" t="s">
        <v>178</v>
      </c>
      <c r="E26" s="10"/>
      <c r="F26" s="33">
        <v>1213</v>
      </c>
      <c r="G26" s="33" t="s">
        <v>28</v>
      </c>
      <c r="H26" s="34">
        <f t="shared" si="1"/>
        <v>1213</v>
      </c>
      <c r="I26" s="10"/>
      <c r="J26" s="37"/>
      <c r="K26" s="10"/>
      <c r="L26" s="35"/>
      <c r="M26" s="35"/>
    </row>
    <row r="27" ht="19" customHeight="1" spans="1:13">
      <c r="A27" s="38"/>
      <c r="B27" s="10">
        <v>23</v>
      </c>
      <c r="C27" s="32" t="s">
        <v>51</v>
      </c>
      <c r="D27" s="32" t="s">
        <v>168</v>
      </c>
      <c r="E27" s="10"/>
      <c r="F27" s="33" t="s">
        <v>28</v>
      </c>
      <c r="G27" s="33">
        <v>50</v>
      </c>
      <c r="H27" s="34">
        <f t="shared" si="1"/>
        <v>50</v>
      </c>
      <c r="I27" s="10"/>
      <c r="J27" s="37"/>
      <c r="K27" s="10"/>
      <c r="L27" s="35"/>
      <c r="M27" s="35"/>
    </row>
    <row r="28" ht="19" customHeight="1" spans="1:13">
      <c r="A28" s="42" t="s">
        <v>56</v>
      </c>
      <c r="B28" s="43"/>
      <c r="C28" s="43"/>
      <c r="D28" s="43"/>
      <c r="E28" s="44"/>
      <c r="F28" s="45">
        <f>SUM(F5:F27)</f>
        <v>4368.81</v>
      </c>
      <c r="G28" s="45">
        <f>SUM(G5:G27)</f>
        <v>437</v>
      </c>
      <c r="H28" s="46">
        <f>SUM(H5:H27)</f>
        <v>4805.81</v>
      </c>
      <c r="I28" s="26"/>
      <c r="J28" s="47"/>
      <c r="K28" s="10"/>
      <c r="L28" s="35"/>
      <c r="M28" s="35"/>
    </row>
    <row r="29" spans="1:13">
      <c r="A29" s="48"/>
      <c r="B29" s="49"/>
      <c r="C29" s="49"/>
      <c r="D29" s="49"/>
      <c r="E29" s="49"/>
      <c r="F29" s="49"/>
      <c r="G29" s="50"/>
      <c r="H29" s="50"/>
      <c r="I29" s="49"/>
      <c r="J29" s="51"/>
      <c r="K29" s="49"/>
      <c r="L29" s="49"/>
      <c r="M29" s="49"/>
    </row>
    <row r="30" spans="1:13">
      <c r="A30" s="52"/>
      <c r="B30" s="52"/>
      <c r="C30" s="52"/>
      <c r="D30" s="52"/>
      <c r="E30" s="52"/>
      <c r="F30" s="52"/>
      <c r="G30" s="13" t="s">
        <v>59</v>
      </c>
    </row>
    <row r="31" spans="1:13">
      <c r="A31" s="52"/>
      <c r="B31" s="52"/>
      <c r="C31" s="52"/>
      <c r="D31" s="52"/>
      <c r="E31" s="52"/>
      <c r="F31" s="52"/>
    </row>
    <row r="32" spans="1:13">
      <c r="A32" s="53" t="s">
        <v>57</v>
      </c>
      <c r="B32" s="32" t="s">
        <v>23</v>
      </c>
      <c r="C32" s="54">
        <v>240</v>
      </c>
      <c r="E32" s="10" t="s">
        <v>3</v>
      </c>
      <c r="F32" s="10" t="s">
        <v>6</v>
      </c>
      <c r="G32" s="55" t="s">
        <v>58</v>
      </c>
    </row>
    <row r="33" spans="1:7">
      <c r="A33" s="56"/>
      <c r="B33" s="32" t="s">
        <v>17</v>
      </c>
      <c r="C33" s="54">
        <v>0</v>
      </c>
      <c r="D33" s="57"/>
      <c r="E33" s="10" t="s">
        <v>60</v>
      </c>
      <c r="F33" s="58">
        <v>0</v>
      </c>
      <c r="G33" s="58">
        <f t="shared" ref="G33:G38" si="2">F33</f>
        <v>0</v>
      </c>
    </row>
    <row r="34" spans="1:7">
      <c r="A34" s="56"/>
      <c r="B34" s="32" t="s">
        <v>13</v>
      </c>
      <c r="C34" s="54">
        <v>67</v>
      </c>
      <c r="D34" s="57"/>
      <c r="E34" s="10" t="s">
        <v>61</v>
      </c>
      <c r="F34" s="58">
        <f>F28</f>
        <v>4368.81</v>
      </c>
      <c r="G34" s="58">
        <f>F34+F35</f>
        <v>4368.81</v>
      </c>
    </row>
    <row r="35" spans="1:7">
      <c r="A35" s="56"/>
      <c r="B35" s="32" t="s">
        <v>62</v>
      </c>
      <c r="C35" s="54">
        <v>0</v>
      </c>
      <c r="D35" s="57"/>
      <c r="E35" s="10" t="s">
        <v>63</v>
      </c>
      <c r="F35" s="58">
        <v>0</v>
      </c>
      <c r="G35" s="58"/>
    </row>
    <row r="36" spans="1:7">
      <c r="A36" s="56"/>
      <c r="B36" s="32" t="s">
        <v>51</v>
      </c>
      <c r="C36" s="54">
        <v>130</v>
      </c>
      <c r="D36" s="57"/>
      <c r="E36" s="10" t="s">
        <v>64</v>
      </c>
      <c r="F36" s="58">
        <f>G28</f>
        <v>437</v>
      </c>
      <c r="G36" s="58">
        <f t="shared" si="2"/>
        <v>437</v>
      </c>
    </row>
    <row r="37" spans="1:7">
      <c r="A37" s="56"/>
      <c r="B37" s="32" t="s">
        <v>54</v>
      </c>
      <c r="C37" s="59">
        <v>0</v>
      </c>
      <c r="D37" s="57"/>
      <c r="E37" s="10" t="s">
        <v>65</v>
      </c>
      <c r="F37" s="58">
        <f>F33-F36</f>
        <v>-437</v>
      </c>
      <c r="G37" s="58">
        <f t="shared" si="2"/>
        <v>-437</v>
      </c>
    </row>
    <row r="38" spans="1:7">
      <c r="A38" s="60"/>
      <c r="B38" s="6" t="s">
        <v>56</v>
      </c>
      <c r="C38" s="6">
        <f>SUM(C32:C37)</f>
        <v>437</v>
      </c>
      <c r="D38" s="57"/>
      <c r="E38" s="10" t="s">
        <v>66</v>
      </c>
      <c r="F38" s="58">
        <v>0</v>
      </c>
      <c r="G38" s="58">
        <f t="shared" si="2"/>
        <v>0</v>
      </c>
    </row>
    <row r="39" spans="1:7">
      <c r="D39" s="3"/>
    </row>
    <row r="40" spans="1:7">
      <c r="A40" s="61" t="s">
        <v>58</v>
      </c>
      <c r="B40" s="32" t="s">
        <v>23</v>
      </c>
      <c r="C40" s="59">
        <f ca="1" t="shared" ref="C40:C45" si="3">SUMIF($C$5:$H$27,B32,$H$5:$H$27)</f>
        <v>1320</v>
      </c>
    </row>
    <row r="41" spans="1:7">
      <c r="A41" s="62"/>
      <c r="B41" s="32" t="s">
        <v>17</v>
      </c>
      <c r="C41" s="59">
        <f ca="1" t="shared" si="3"/>
        <v>2563</v>
      </c>
    </row>
    <row r="42" spans="1:7">
      <c r="A42" s="62"/>
      <c r="B42" s="32" t="s">
        <v>13</v>
      </c>
      <c r="C42" s="59">
        <f ca="1" t="shared" si="3"/>
        <v>792.81</v>
      </c>
    </row>
    <row r="43" spans="1:7">
      <c r="A43" s="62"/>
      <c r="B43" s="32" t="s">
        <v>62</v>
      </c>
      <c r="C43" s="59">
        <f ca="1" t="shared" si="3"/>
        <v>0</v>
      </c>
    </row>
    <row r="44" spans="1:7">
      <c r="A44" s="62"/>
      <c r="B44" s="32" t="s">
        <v>51</v>
      </c>
      <c r="C44" s="59">
        <f ca="1" t="shared" si="3"/>
        <v>130</v>
      </c>
    </row>
    <row r="45" spans="1:7">
      <c r="A45" s="62"/>
      <c r="B45" s="32" t="s">
        <v>54</v>
      </c>
      <c r="C45" s="59">
        <f ca="1" t="shared" si="3"/>
        <v>0</v>
      </c>
    </row>
    <row r="46" spans="1:7">
      <c r="A46" s="63"/>
      <c r="B46" s="6" t="s">
        <v>56</v>
      </c>
      <c r="C46" s="6">
        <f ca="1">SUM(C40:C45)</f>
        <v>4805.81</v>
      </c>
    </row>
  </sheetData>
  <autoFilter xmlns:etc="http://www.wps.cn/officeDocument/2017/etCustomData" ref="A4:M28" etc:filterBottomFollowUsedRange="0">
    <extLst/>
  </autoFilter>
  <mergeCells count="22">
    <mergeCell ref="A1:J1"/>
    <mergeCell ref="F3:H3"/>
    <mergeCell ref="A28:E28"/>
    <mergeCell ref="A30:E30"/>
    <mergeCell ref="A3:A4"/>
    <mergeCell ref="A5:A9"/>
    <mergeCell ref="A10:A11"/>
    <mergeCell ref="A12:A14"/>
    <mergeCell ref="A15:A16"/>
    <mergeCell ref="A17:A19"/>
    <mergeCell ref="A20:A23"/>
    <mergeCell ref="A24:A27"/>
    <mergeCell ref="A32:A38"/>
    <mergeCell ref="A40:A46"/>
    <mergeCell ref="B3:B4"/>
    <mergeCell ref="C3:C4"/>
    <mergeCell ref="D3:D4"/>
    <mergeCell ref="E3:E4"/>
    <mergeCell ref="G34:G35"/>
    <mergeCell ref="I3:I4"/>
    <mergeCell ref="J3:J4"/>
    <mergeCell ref="K3:M4"/>
  </mergeCells>
  <printOptions horizontalCentered="1"/>
  <pageMargins left="0.2" right="0.180555555555556" top="0.16875" bottom="0.207638888888889" header="0.16875" footer="0.16875"/>
  <pageSetup paperSize="9" scale="64" orientation="landscape" horizontalDpi="6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0"/>
  <sheetViews>
    <sheetView workbookViewId="0">
      <pane xSplit="4" ySplit="3" topLeftCell="E4" activePane="bottomRight" state="frozen"/>
      <selection/>
      <selection pane="topRight"/>
      <selection pane="bottomLeft"/>
      <selection pane="bottomRight" activeCell="G21" sqref="G21"/>
    </sheetView>
  </sheetViews>
  <sheetFormatPr defaultColWidth="9" defaultRowHeight="16.8"/>
  <cols>
    <col min="1" max="1" width="11.625" style="12" customWidth="1"/>
    <col min="2" max="2" width="11.875" style="12" customWidth="1"/>
    <col min="3" max="3" width="11.125" style="12" customWidth="1"/>
    <col min="4" max="4" width="14.9038461538462" style="12" customWidth="1"/>
    <col min="5" max="5" width="26.125" style="12" customWidth="1"/>
    <col min="6" max="6" width="10.75" style="12" customWidth="1"/>
    <col min="7" max="7" width="9.75" style="13" customWidth="1"/>
    <col min="8" max="8" width="11.375" style="13" customWidth="1"/>
    <col min="9" max="9" width="10" style="12" customWidth="1"/>
    <col min="10" max="10" width="45.375" style="14" customWidth="1"/>
    <col min="11" max="11" width="7.375" style="3" customWidth="1"/>
    <col min="12" max="13" width="7.375" style="12" customWidth="1"/>
    <col min="14" max="16384" width="9.06730769230769" style="12"/>
  </cols>
  <sheetData>
    <row r="1" ht="17.6" spans="1:13">
      <c r="A1" s="15" t="s">
        <v>179</v>
      </c>
      <c r="B1" s="15"/>
      <c r="C1" s="15"/>
      <c r="D1" s="15"/>
      <c r="E1" s="15"/>
      <c r="F1" s="15"/>
      <c r="G1" s="15"/>
      <c r="H1" s="15"/>
      <c r="I1" s="15"/>
      <c r="J1" s="15"/>
    </row>
    <row r="2" ht="19" customHeight="1" spans="1:13">
      <c r="A2" s="16" t="s">
        <v>1</v>
      </c>
      <c r="B2" s="16" t="s">
        <v>2</v>
      </c>
      <c r="C2" s="16" t="s">
        <v>3</v>
      </c>
      <c r="D2" s="17" t="s">
        <v>4</v>
      </c>
      <c r="E2" s="16" t="s">
        <v>5</v>
      </c>
      <c r="F2" s="18" t="s">
        <v>6</v>
      </c>
      <c r="G2" s="19"/>
      <c r="H2" s="20"/>
      <c r="I2" s="16" t="s">
        <v>7</v>
      </c>
      <c r="J2" s="17" t="s">
        <v>8</v>
      </c>
      <c r="K2" s="21" t="s">
        <v>9</v>
      </c>
      <c r="L2" s="22"/>
      <c r="M2" s="23"/>
    </row>
    <row r="3" ht="19" customHeight="1" spans="1:13">
      <c r="A3" s="24"/>
      <c r="B3" s="24"/>
      <c r="C3" s="24"/>
      <c r="D3" s="25"/>
      <c r="E3" s="24"/>
      <c r="F3" s="26" t="s">
        <v>10</v>
      </c>
      <c r="G3" s="27" t="s">
        <v>11</v>
      </c>
      <c r="H3" s="27" t="s">
        <v>12</v>
      </c>
      <c r="I3" s="24"/>
      <c r="J3" s="25"/>
      <c r="K3" s="28"/>
      <c r="L3" s="29"/>
      <c r="M3" s="30"/>
    </row>
    <row r="4" ht="19" customHeight="1" spans="1:13">
      <c r="A4" s="31">
        <v>44935</v>
      </c>
      <c r="B4" s="10">
        <v>1</v>
      </c>
      <c r="C4" s="32" t="s">
        <v>17</v>
      </c>
      <c r="D4" s="32" t="s">
        <v>86</v>
      </c>
      <c r="E4" s="10" t="s">
        <v>180</v>
      </c>
      <c r="F4" s="33">
        <v>350</v>
      </c>
      <c r="G4" s="33"/>
      <c r="H4" s="34">
        <f>SUM(F4:G4)</f>
        <v>350</v>
      </c>
      <c r="I4" s="10"/>
      <c r="J4" s="10"/>
      <c r="K4" s="10"/>
      <c r="L4" s="35"/>
      <c r="M4" s="35"/>
    </row>
    <row r="5" ht="19" customHeight="1" spans="1:13">
      <c r="A5" s="36"/>
      <c r="B5" s="10">
        <v>2</v>
      </c>
      <c r="C5" s="32" t="s">
        <v>23</v>
      </c>
      <c r="D5" s="32" t="s">
        <v>135</v>
      </c>
      <c r="E5" s="10" t="s">
        <v>181</v>
      </c>
      <c r="F5" s="33">
        <v>820</v>
      </c>
      <c r="G5" s="33"/>
      <c r="H5" s="34">
        <f t="shared" ref="H5:H22" si="0">SUM(F5:G5)</f>
        <v>820</v>
      </c>
      <c r="I5" s="10"/>
      <c r="J5" s="37" t="s">
        <v>182</v>
      </c>
      <c r="K5" s="10"/>
      <c r="L5" s="35"/>
      <c r="M5" s="35"/>
    </row>
    <row r="6" ht="19" customHeight="1" spans="1:13">
      <c r="A6" s="36"/>
      <c r="B6" s="10">
        <v>3</v>
      </c>
      <c r="C6" s="32" t="s">
        <v>51</v>
      </c>
      <c r="D6" s="32" t="s">
        <v>135</v>
      </c>
      <c r="E6" s="10" t="s">
        <v>28</v>
      </c>
      <c r="F6" s="33"/>
      <c r="G6" s="33">
        <v>60</v>
      </c>
      <c r="H6" s="34">
        <f t="shared" si="0"/>
        <v>60</v>
      </c>
      <c r="I6" s="10"/>
      <c r="J6" s="37"/>
      <c r="K6" s="10"/>
      <c r="L6" s="35"/>
      <c r="M6" s="35"/>
    </row>
    <row r="7" ht="19" customHeight="1" spans="1:13">
      <c r="A7" s="31">
        <v>44936</v>
      </c>
      <c r="B7" s="10">
        <v>4</v>
      </c>
      <c r="C7" s="32" t="s">
        <v>13</v>
      </c>
      <c r="D7" s="32" t="s">
        <v>137</v>
      </c>
      <c r="E7" s="10" t="s">
        <v>91</v>
      </c>
      <c r="F7" s="33">
        <v>19.27</v>
      </c>
      <c r="G7" s="33"/>
      <c r="H7" s="34">
        <f t="shared" si="0"/>
        <v>19.27</v>
      </c>
      <c r="I7" s="10"/>
      <c r="J7" s="37"/>
      <c r="K7" s="10"/>
      <c r="L7" s="35"/>
      <c r="M7" s="35"/>
    </row>
    <row r="8" ht="19" customHeight="1" spans="1:13">
      <c r="A8" s="36"/>
      <c r="B8" s="10">
        <v>5</v>
      </c>
      <c r="C8" s="32" t="s">
        <v>13</v>
      </c>
      <c r="D8" s="32" t="s">
        <v>137</v>
      </c>
      <c r="E8" s="10" t="s">
        <v>183</v>
      </c>
      <c r="F8" s="33">
        <v>34.71</v>
      </c>
      <c r="G8" s="33"/>
      <c r="H8" s="34">
        <f t="shared" si="0"/>
        <v>34.71</v>
      </c>
      <c r="I8" s="10"/>
      <c r="J8" s="37" t="s">
        <v>184</v>
      </c>
      <c r="K8" s="10"/>
      <c r="L8" s="35"/>
      <c r="M8" s="35"/>
    </row>
    <row r="9" ht="19" customHeight="1" spans="1:13">
      <c r="A9" s="36"/>
      <c r="B9" s="10">
        <v>6</v>
      </c>
      <c r="C9" s="32" t="s">
        <v>13</v>
      </c>
      <c r="D9" s="32" t="s">
        <v>137</v>
      </c>
      <c r="E9" s="10" t="s">
        <v>185</v>
      </c>
      <c r="F9" s="33">
        <v>18</v>
      </c>
      <c r="G9" s="33"/>
      <c r="H9" s="34">
        <f t="shared" si="0"/>
        <v>18</v>
      </c>
      <c r="I9" s="10"/>
      <c r="J9" s="37" t="s">
        <v>186</v>
      </c>
      <c r="K9" s="10"/>
      <c r="L9" s="35"/>
      <c r="M9" s="35"/>
    </row>
    <row r="10" ht="19" customHeight="1" spans="1:13">
      <c r="A10" s="38"/>
      <c r="B10" s="10">
        <v>7</v>
      </c>
      <c r="C10" s="32" t="s">
        <v>13</v>
      </c>
      <c r="D10" s="32" t="s">
        <v>137</v>
      </c>
      <c r="E10" s="10" t="s">
        <v>187</v>
      </c>
      <c r="F10" s="33">
        <v>5</v>
      </c>
      <c r="G10" s="33"/>
      <c r="H10" s="34">
        <f t="shared" si="0"/>
        <v>5</v>
      </c>
      <c r="I10" s="10"/>
      <c r="J10" s="37" t="s">
        <v>188</v>
      </c>
      <c r="K10" s="10"/>
      <c r="L10" s="35"/>
      <c r="M10" s="35"/>
    </row>
    <row r="11" ht="19" customHeight="1" spans="1:13">
      <c r="A11" s="31">
        <v>44937</v>
      </c>
      <c r="B11" s="10">
        <v>8</v>
      </c>
      <c r="C11" s="32" t="s">
        <v>13</v>
      </c>
      <c r="D11" s="32" t="s">
        <v>137</v>
      </c>
      <c r="E11" s="10" t="s">
        <v>189</v>
      </c>
      <c r="F11" s="33">
        <v>30.42</v>
      </c>
      <c r="G11" s="33"/>
      <c r="H11" s="34">
        <f t="shared" si="0"/>
        <v>30.42</v>
      </c>
      <c r="I11" s="10"/>
      <c r="J11" s="37" t="s">
        <v>190</v>
      </c>
      <c r="K11" s="10"/>
      <c r="L11" s="35"/>
      <c r="M11" s="35"/>
    </row>
    <row r="12" ht="19" customHeight="1" spans="1:13">
      <c r="A12" s="38"/>
      <c r="B12" s="10">
        <v>9</v>
      </c>
      <c r="C12" s="32" t="s">
        <v>13</v>
      </c>
      <c r="D12" s="32" t="s">
        <v>137</v>
      </c>
      <c r="E12" s="10" t="s">
        <v>191</v>
      </c>
      <c r="F12" s="33">
        <v>14.06</v>
      </c>
      <c r="G12" s="33"/>
      <c r="H12" s="34">
        <f t="shared" si="0"/>
        <v>14.06</v>
      </c>
      <c r="I12" s="10"/>
      <c r="J12" s="37" t="s">
        <v>190</v>
      </c>
      <c r="K12" s="10"/>
      <c r="L12" s="35"/>
      <c r="M12" s="35"/>
    </row>
    <row r="13" ht="19" customHeight="1" spans="1:13">
      <c r="A13" s="31">
        <v>44938</v>
      </c>
      <c r="B13" s="10">
        <v>10</v>
      </c>
      <c r="C13" s="32" t="s">
        <v>13</v>
      </c>
      <c r="D13" s="32" t="s">
        <v>137</v>
      </c>
      <c r="E13" s="10" t="s">
        <v>183</v>
      </c>
      <c r="F13" s="33">
        <v>33.17</v>
      </c>
      <c r="G13" s="33"/>
      <c r="H13" s="34">
        <f t="shared" si="0"/>
        <v>33.17</v>
      </c>
      <c r="I13" s="10"/>
      <c r="J13" s="37" t="s">
        <v>192</v>
      </c>
      <c r="K13" s="10"/>
      <c r="L13" s="35"/>
      <c r="M13" s="35"/>
    </row>
    <row r="14" ht="19" customHeight="1" spans="1:13">
      <c r="A14" s="36"/>
      <c r="B14" s="10">
        <v>11</v>
      </c>
      <c r="C14" s="32" t="s">
        <v>13</v>
      </c>
      <c r="D14" s="10" t="s">
        <v>137</v>
      </c>
      <c r="E14" s="10" t="s">
        <v>92</v>
      </c>
      <c r="F14" s="33">
        <v>17.27</v>
      </c>
      <c r="G14" s="33"/>
      <c r="H14" s="34">
        <f t="shared" si="0"/>
        <v>17.27</v>
      </c>
      <c r="I14" s="10"/>
      <c r="J14" s="37" t="s">
        <v>184</v>
      </c>
      <c r="K14" s="10"/>
      <c r="L14" s="35"/>
      <c r="M14" s="35"/>
    </row>
    <row r="15" ht="19" customHeight="1" spans="1:13">
      <c r="A15" s="36"/>
      <c r="B15" s="10">
        <v>12</v>
      </c>
      <c r="C15" s="32" t="s">
        <v>13</v>
      </c>
      <c r="D15" s="10" t="s">
        <v>137</v>
      </c>
      <c r="E15" s="10" t="s">
        <v>193</v>
      </c>
      <c r="F15" s="33">
        <v>42.25</v>
      </c>
      <c r="G15" s="33"/>
      <c r="H15" s="34">
        <f t="shared" si="0"/>
        <v>42.25</v>
      </c>
      <c r="I15" s="10"/>
      <c r="J15" s="37" t="s">
        <v>184</v>
      </c>
      <c r="K15" s="10"/>
      <c r="L15" s="35"/>
      <c r="M15" s="35"/>
    </row>
    <row r="16" ht="19" customHeight="1" spans="1:13">
      <c r="A16" s="36"/>
      <c r="B16" s="10">
        <v>13</v>
      </c>
      <c r="C16" s="32" t="s">
        <v>13</v>
      </c>
      <c r="D16" s="10" t="s">
        <v>137</v>
      </c>
      <c r="E16" s="10" t="s">
        <v>185</v>
      </c>
      <c r="F16" s="33">
        <v>15</v>
      </c>
      <c r="G16" s="33"/>
      <c r="H16" s="34">
        <f t="shared" si="0"/>
        <v>15</v>
      </c>
      <c r="I16" s="10"/>
      <c r="J16" s="37" t="s">
        <v>194</v>
      </c>
      <c r="K16" s="10"/>
      <c r="L16" s="35"/>
      <c r="M16" s="35"/>
    </row>
    <row r="17" ht="19" customHeight="1" spans="1:13">
      <c r="A17" s="36"/>
      <c r="B17" s="10">
        <v>14</v>
      </c>
      <c r="C17" s="32" t="s">
        <v>51</v>
      </c>
      <c r="D17" s="10" t="s">
        <v>135</v>
      </c>
      <c r="E17" s="10" t="s">
        <v>28</v>
      </c>
      <c r="F17" s="33"/>
      <c r="G17" s="33">
        <v>20</v>
      </c>
      <c r="H17" s="34">
        <f t="shared" si="0"/>
        <v>20</v>
      </c>
      <c r="I17" s="10"/>
      <c r="J17" s="37"/>
      <c r="K17" s="10"/>
      <c r="L17" s="35"/>
      <c r="M17" s="35"/>
    </row>
    <row r="18" ht="19" customHeight="1" spans="1:13">
      <c r="A18" s="31">
        <v>44939</v>
      </c>
      <c r="B18" s="10">
        <v>15</v>
      </c>
      <c r="C18" s="32" t="s">
        <v>17</v>
      </c>
      <c r="D18" s="10" t="s">
        <v>141</v>
      </c>
      <c r="E18" s="10" t="s">
        <v>195</v>
      </c>
      <c r="F18" s="33">
        <v>349</v>
      </c>
      <c r="G18" s="33"/>
      <c r="H18" s="34">
        <f t="shared" si="0"/>
        <v>349</v>
      </c>
      <c r="I18" s="10"/>
      <c r="J18" s="37" t="s">
        <v>196</v>
      </c>
      <c r="K18" s="10"/>
      <c r="L18" s="35"/>
      <c r="M18" s="35"/>
    </row>
    <row r="19" ht="19" customHeight="1" spans="1:13">
      <c r="A19" s="36"/>
      <c r="B19" s="10">
        <v>16</v>
      </c>
      <c r="C19" s="32" t="s">
        <v>13</v>
      </c>
      <c r="D19" s="10" t="s">
        <v>137</v>
      </c>
      <c r="E19" s="10" t="s">
        <v>197</v>
      </c>
      <c r="F19" s="33">
        <v>30.85</v>
      </c>
      <c r="G19" s="33"/>
      <c r="H19" s="34">
        <f t="shared" si="0"/>
        <v>30.85</v>
      </c>
      <c r="I19" s="10"/>
      <c r="J19" s="37" t="s">
        <v>198</v>
      </c>
      <c r="K19" s="10"/>
      <c r="L19" s="35"/>
      <c r="M19" s="35"/>
    </row>
    <row r="20" ht="19" customHeight="1" spans="1:13">
      <c r="A20" s="36"/>
      <c r="B20" s="10">
        <v>17</v>
      </c>
      <c r="C20" s="32" t="s">
        <v>13</v>
      </c>
      <c r="D20" s="10" t="s">
        <v>14</v>
      </c>
      <c r="E20" s="10" t="s">
        <v>199</v>
      </c>
      <c r="F20" s="33">
        <v>51.28</v>
      </c>
      <c r="G20" s="33"/>
      <c r="H20" s="34">
        <f t="shared" si="0"/>
        <v>51.28</v>
      </c>
      <c r="I20" s="10"/>
      <c r="J20" s="37" t="s">
        <v>200</v>
      </c>
      <c r="K20" s="10"/>
      <c r="L20" s="35"/>
      <c r="M20" s="35"/>
    </row>
    <row r="21" ht="19" customHeight="1" spans="1:13">
      <c r="A21" s="38"/>
      <c r="B21" s="10">
        <v>18</v>
      </c>
      <c r="C21" s="32" t="s">
        <v>51</v>
      </c>
      <c r="D21" s="10" t="s">
        <v>135</v>
      </c>
      <c r="E21" s="10" t="s">
        <v>28</v>
      </c>
      <c r="F21" s="33"/>
      <c r="G21" s="33">
        <v>60</v>
      </c>
      <c r="H21" s="34">
        <f t="shared" si="0"/>
        <v>60</v>
      </c>
      <c r="I21" s="10"/>
      <c r="J21" s="37"/>
      <c r="K21" s="10"/>
      <c r="L21" s="35"/>
      <c r="M21" s="35"/>
    </row>
    <row r="22" ht="19" customHeight="1" spans="1:13">
      <c r="A22" s="42" t="s">
        <v>56</v>
      </c>
      <c r="B22" s="43"/>
      <c r="C22" s="43"/>
      <c r="D22" s="43"/>
      <c r="E22" s="44"/>
      <c r="F22" s="45">
        <f>SUM(F4:F21)</f>
        <v>1830.28</v>
      </c>
      <c r="G22" s="45">
        <f>SUM(G4:G21)</f>
        <v>140</v>
      </c>
      <c r="H22" s="46">
        <f>SUM(H4:H21)</f>
        <v>1970.28</v>
      </c>
      <c r="I22" s="26"/>
      <c r="J22" s="47"/>
      <c r="K22" s="10"/>
      <c r="L22" s="35"/>
      <c r="M22" s="35"/>
    </row>
    <row r="23" spans="1:13">
      <c r="A23" s="48"/>
      <c r="B23" s="49"/>
      <c r="C23" s="49"/>
      <c r="D23" s="49"/>
      <c r="E23" s="49"/>
      <c r="F23" s="49"/>
      <c r="G23" s="50"/>
      <c r="H23" s="50"/>
      <c r="I23" s="49"/>
      <c r="J23" s="51"/>
      <c r="K23" s="49"/>
      <c r="L23" s="49"/>
      <c r="M23" s="49"/>
    </row>
    <row r="24" spans="1:13">
      <c r="A24" s="52"/>
      <c r="B24" s="52"/>
      <c r="C24" s="52"/>
      <c r="D24" s="52"/>
      <c r="E24" s="52"/>
      <c r="F24" s="52"/>
      <c r="G24" s="13" t="s">
        <v>59</v>
      </c>
    </row>
    <row r="25" spans="1:13">
      <c r="A25" s="52"/>
      <c r="B25" s="52"/>
      <c r="C25" s="52"/>
      <c r="D25" s="52"/>
      <c r="E25" s="52"/>
      <c r="F25" s="52"/>
    </row>
    <row r="26" spans="1:13">
      <c r="A26" s="53" t="s">
        <v>57</v>
      </c>
      <c r="B26" s="32" t="s">
        <v>23</v>
      </c>
      <c r="C26" s="54">
        <v>0</v>
      </c>
      <c r="E26" s="10" t="s">
        <v>3</v>
      </c>
      <c r="F26" s="10" t="s">
        <v>6</v>
      </c>
      <c r="G26" s="55" t="s">
        <v>58</v>
      </c>
    </row>
    <row r="27" spans="1:13">
      <c r="A27" s="56"/>
      <c r="B27" s="32" t="s">
        <v>17</v>
      </c>
      <c r="C27" s="54">
        <v>0</v>
      </c>
      <c r="D27" s="57"/>
      <c r="E27" s="10" t="s">
        <v>60</v>
      </c>
      <c r="F27" s="58">
        <v>0</v>
      </c>
      <c r="G27" s="58">
        <f t="shared" ref="G27:G32" si="1">F27</f>
        <v>0</v>
      </c>
    </row>
    <row r="28" spans="1:13">
      <c r="A28" s="56"/>
      <c r="B28" s="32" t="s">
        <v>13</v>
      </c>
      <c r="C28" s="54">
        <v>0</v>
      </c>
      <c r="D28" s="57"/>
      <c r="E28" s="10" t="s">
        <v>61</v>
      </c>
      <c r="F28" s="58">
        <f>F22</f>
        <v>1830.28</v>
      </c>
      <c r="G28" s="58">
        <f>F28+F29</f>
        <v>1830.28</v>
      </c>
    </row>
    <row r="29" spans="1:13">
      <c r="A29" s="56"/>
      <c r="B29" s="32" t="s">
        <v>62</v>
      </c>
      <c r="C29" s="54">
        <v>0</v>
      </c>
      <c r="D29" s="57"/>
      <c r="E29" s="10" t="s">
        <v>63</v>
      </c>
      <c r="F29" s="58">
        <v>0</v>
      </c>
      <c r="G29" s="58"/>
    </row>
    <row r="30" spans="1:13">
      <c r="A30" s="56"/>
      <c r="B30" s="32" t="s">
        <v>51</v>
      </c>
      <c r="C30" s="54">
        <v>140</v>
      </c>
      <c r="D30" s="57"/>
      <c r="E30" s="10" t="s">
        <v>64</v>
      </c>
      <c r="F30" s="58">
        <f>G22</f>
        <v>140</v>
      </c>
      <c r="G30" s="58">
        <f t="shared" si="1"/>
        <v>140</v>
      </c>
    </row>
    <row r="31" spans="1:13">
      <c r="A31" s="56"/>
      <c r="B31" s="32" t="s">
        <v>54</v>
      </c>
      <c r="C31" s="59">
        <v>0</v>
      </c>
      <c r="D31" s="57"/>
      <c r="E31" s="10" t="s">
        <v>65</v>
      </c>
      <c r="F31" s="58">
        <f>F27-F30</f>
        <v>-140</v>
      </c>
      <c r="G31" s="58">
        <f t="shared" si="1"/>
        <v>-140</v>
      </c>
    </row>
    <row r="32" spans="1:13">
      <c r="A32" s="60"/>
      <c r="B32" s="6" t="s">
        <v>56</v>
      </c>
      <c r="C32" s="6">
        <f>SUM(C26:C31)</f>
        <v>140</v>
      </c>
      <c r="D32" s="57"/>
      <c r="E32" s="10" t="s">
        <v>66</v>
      </c>
      <c r="F32" s="58">
        <v>0</v>
      </c>
      <c r="G32" s="58">
        <f t="shared" si="1"/>
        <v>0</v>
      </c>
    </row>
    <row r="33" spans="1:4">
      <c r="D33" s="3"/>
    </row>
    <row r="34" spans="1:4">
      <c r="A34" s="61" t="s">
        <v>58</v>
      </c>
      <c r="B34" s="32" t="s">
        <v>23</v>
      </c>
      <c r="C34" s="59">
        <f ca="1" t="shared" ref="C34:C39" si="2">SUMIF($C$4:$H$21,B26,$H$4:$H$21)</f>
        <v>820</v>
      </c>
    </row>
    <row r="35" spans="1:4">
      <c r="A35" s="62"/>
      <c r="B35" s="32" t="s">
        <v>17</v>
      </c>
      <c r="C35" s="59">
        <f ca="1" t="shared" si="2"/>
        <v>699</v>
      </c>
    </row>
    <row r="36" spans="1:4">
      <c r="A36" s="62"/>
      <c r="B36" s="32" t="s">
        <v>13</v>
      </c>
      <c r="C36" s="59">
        <f ca="1" t="shared" si="2"/>
        <v>311.28</v>
      </c>
    </row>
    <row r="37" spans="1:4">
      <c r="A37" s="62"/>
      <c r="B37" s="32" t="s">
        <v>62</v>
      </c>
      <c r="C37" s="59">
        <f ca="1" t="shared" si="2"/>
        <v>0</v>
      </c>
    </row>
    <row r="38" spans="1:4">
      <c r="A38" s="62"/>
      <c r="B38" s="32" t="s">
        <v>51</v>
      </c>
      <c r="C38" s="59">
        <f ca="1" t="shared" si="2"/>
        <v>140</v>
      </c>
    </row>
    <row r="39" spans="1:4">
      <c r="A39" s="62"/>
      <c r="B39" s="32" t="s">
        <v>54</v>
      </c>
      <c r="C39" s="59">
        <f ca="1" t="shared" si="2"/>
        <v>0</v>
      </c>
    </row>
    <row r="40" spans="1:4">
      <c r="A40" s="63"/>
      <c r="B40" s="6" t="s">
        <v>56</v>
      </c>
      <c r="C40" s="6">
        <f ca="1">SUM(C34:C39)</f>
        <v>1970.28</v>
      </c>
    </row>
  </sheetData>
  <autoFilter xmlns:etc="http://www.wps.cn/officeDocument/2017/etCustomData" ref="A3:M22" etc:filterBottomFollowUsedRange="0">
    <extLst/>
  </autoFilter>
  <sortState ref="A4:M18">
    <sortCondition ref="A4"/>
  </sortState>
  <mergeCells count="20">
    <mergeCell ref="A1:J1"/>
    <mergeCell ref="F2:H2"/>
    <mergeCell ref="A22:E22"/>
    <mergeCell ref="A24:E24"/>
    <mergeCell ref="A2:A3"/>
    <mergeCell ref="A4:A6"/>
    <mergeCell ref="A7:A10"/>
    <mergeCell ref="A11:A12"/>
    <mergeCell ref="A13:A17"/>
    <mergeCell ref="A18:A21"/>
    <mergeCell ref="A26:A32"/>
    <mergeCell ref="A34:A40"/>
    <mergeCell ref="B2:B3"/>
    <mergeCell ref="C2:C3"/>
    <mergeCell ref="D2:D3"/>
    <mergeCell ref="E2:E3"/>
    <mergeCell ref="G28:G29"/>
    <mergeCell ref="I2:I3"/>
    <mergeCell ref="J2:J3"/>
    <mergeCell ref="K2:M3"/>
  </mergeCells>
  <printOptions horizontalCentered="1"/>
  <pageMargins left="0.2" right="0.180555555555556" top="0.16875" bottom="0.207638888888889" header="0.16875" footer="0.16875"/>
  <pageSetup paperSize="9" scale="75" orientation="landscape" horizontalDpi="6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8"/>
  <sheetViews>
    <sheetView workbookViewId="0">
      <pane xSplit="4" ySplit="3" topLeftCell="E4" activePane="bottomRight" state="frozen"/>
      <selection/>
      <selection pane="topRight"/>
      <selection pane="bottomLeft"/>
      <selection pane="bottomRight" activeCell="G21" sqref="G21"/>
    </sheetView>
  </sheetViews>
  <sheetFormatPr defaultColWidth="9" defaultRowHeight="16.8"/>
  <cols>
    <col min="1" max="1" width="11.625" style="12" customWidth="1"/>
    <col min="2" max="2" width="11.875" style="12" customWidth="1"/>
    <col min="3" max="3" width="11.125" style="12" customWidth="1"/>
    <col min="4" max="4" width="10" style="12" customWidth="1"/>
    <col min="5" max="5" width="26.125" style="12" customWidth="1"/>
    <col min="6" max="6" width="10.75" style="12" customWidth="1"/>
    <col min="7" max="7" width="9.75" style="13" customWidth="1"/>
    <col min="8" max="8" width="11.375" style="13" customWidth="1"/>
    <col min="9" max="9" width="10" style="12" customWidth="1"/>
    <col min="10" max="10" width="45.375" style="14" customWidth="1"/>
    <col min="11" max="11" width="7.375" style="3" customWidth="1"/>
    <col min="12" max="13" width="7.375" style="12" customWidth="1"/>
    <col min="14" max="16384" width="9.06730769230769" style="12"/>
  </cols>
  <sheetData>
    <row r="1" ht="17.6" spans="1:13">
      <c r="A1" s="15" t="s">
        <v>201</v>
      </c>
      <c r="B1" s="15"/>
      <c r="C1" s="15"/>
      <c r="D1" s="15"/>
      <c r="E1" s="15"/>
      <c r="F1" s="15"/>
      <c r="G1" s="15"/>
      <c r="H1" s="15"/>
      <c r="I1" s="15"/>
      <c r="J1" s="15"/>
    </row>
    <row r="2" ht="19" customHeight="1" spans="1:13">
      <c r="A2" s="16" t="s">
        <v>1</v>
      </c>
      <c r="B2" s="16" t="s">
        <v>2</v>
      </c>
      <c r="C2" s="16" t="s">
        <v>3</v>
      </c>
      <c r="D2" s="17" t="s">
        <v>4</v>
      </c>
      <c r="E2" s="16" t="s">
        <v>5</v>
      </c>
      <c r="F2" s="18" t="s">
        <v>6</v>
      </c>
      <c r="G2" s="19"/>
      <c r="H2" s="20"/>
      <c r="I2" s="16" t="s">
        <v>7</v>
      </c>
      <c r="J2" s="17" t="s">
        <v>8</v>
      </c>
      <c r="K2" s="21" t="s">
        <v>9</v>
      </c>
      <c r="L2" s="22"/>
      <c r="M2" s="23"/>
    </row>
    <row r="3" ht="19" customHeight="1" spans="1:13">
      <c r="A3" s="24"/>
      <c r="B3" s="24"/>
      <c r="C3" s="24"/>
      <c r="D3" s="25"/>
      <c r="E3" s="24"/>
      <c r="F3" s="26" t="s">
        <v>202</v>
      </c>
      <c r="G3" s="27" t="s">
        <v>11</v>
      </c>
      <c r="H3" s="27" t="s">
        <v>12</v>
      </c>
      <c r="I3" s="24"/>
      <c r="J3" s="25"/>
      <c r="K3" s="28"/>
      <c r="L3" s="29"/>
      <c r="M3" s="30"/>
    </row>
    <row r="4" ht="19" customHeight="1" spans="1:13">
      <c r="A4" s="31">
        <v>44594</v>
      </c>
      <c r="B4" s="10">
        <v>1</v>
      </c>
      <c r="C4" s="32" t="s">
        <v>62</v>
      </c>
      <c r="D4" s="32" t="s">
        <v>203</v>
      </c>
      <c r="E4" s="10" t="s">
        <v>204</v>
      </c>
      <c r="F4" s="33"/>
      <c r="G4" s="33">
        <v>103</v>
      </c>
      <c r="H4" s="34">
        <f>ROUND(F4+G4,2)</f>
        <v>103</v>
      </c>
      <c r="I4" s="10" t="s">
        <v>205</v>
      </c>
      <c r="J4" s="10"/>
      <c r="K4" s="10"/>
      <c r="L4" s="35"/>
      <c r="M4" s="35"/>
    </row>
    <row r="5" ht="19" customHeight="1" spans="1:13">
      <c r="A5" s="36"/>
      <c r="B5" s="10">
        <v>2</v>
      </c>
      <c r="C5" s="32" t="s">
        <v>17</v>
      </c>
      <c r="D5" s="32" t="s">
        <v>206</v>
      </c>
      <c r="E5" s="10" t="s">
        <v>207</v>
      </c>
      <c r="F5" s="33">
        <v>228</v>
      </c>
      <c r="G5" s="33"/>
      <c r="H5" s="34">
        <f>ROUND(F5+G5,2)</f>
        <v>228</v>
      </c>
      <c r="I5" s="10" t="s">
        <v>202</v>
      </c>
      <c r="J5" s="37"/>
      <c r="K5" s="10"/>
      <c r="L5" s="35"/>
      <c r="M5" s="35"/>
    </row>
    <row r="6" ht="19" customHeight="1" spans="1:13">
      <c r="A6" s="36"/>
      <c r="B6" s="10">
        <v>3</v>
      </c>
      <c r="C6" s="32" t="s">
        <v>13</v>
      </c>
      <c r="D6" s="32" t="s">
        <v>203</v>
      </c>
      <c r="E6" s="10" t="s">
        <v>208</v>
      </c>
      <c r="F6" s="33">
        <v>12</v>
      </c>
      <c r="G6" s="33"/>
      <c r="H6" s="34">
        <f t="shared" ref="H6:H19" si="0">ROUND(F6+G6,2)</f>
        <v>12</v>
      </c>
      <c r="I6" s="10" t="s">
        <v>202</v>
      </c>
      <c r="J6" s="37"/>
      <c r="K6" s="10"/>
      <c r="L6" s="35"/>
      <c r="M6" s="35"/>
    </row>
    <row r="7" ht="19" customHeight="1" spans="1:13">
      <c r="A7" s="38"/>
      <c r="B7" s="10">
        <v>4</v>
      </c>
      <c r="C7" s="32" t="s">
        <v>51</v>
      </c>
      <c r="D7" s="32" t="s">
        <v>203</v>
      </c>
      <c r="E7" s="10"/>
      <c r="F7" s="33"/>
      <c r="G7" s="33">
        <v>30</v>
      </c>
      <c r="H7" s="34">
        <f t="shared" si="0"/>
        <v>30</v>
      </c>
      <c r="I7" s="10" t="s">
        <v>209</v>
      </c>
      <c r="J7" s="37"/>
      <c r="K7" s="10"/>
      <c r="L7" s="35"/>
      <c r="M7" s="35"/>
    </row>
    <row r="8" ht="19" customHeight="1" spans="1:13">
      <c r="A8" s="39">
        <v>44595</v>
      </c>
      <c r="B8" s="10">
        <v>5</v>
      </c>
      <c r="C8" s="32" t="s">
        <v>62</v>
      </c>
      <c r="D8" s="32" t="s">
        <v>80</v>
      </c>
      <c r="E8" s="10" t="s">
        <v>210</v>
      </c>
      <c r="F8" s="33"/>
      <c r="G8" s="33">
        <v>158</v>
      </c>
      <c r="H8" s="34">
        <f t="shared" si="0"/>
        <v>158</v>
      </c>
      <c r="I8" s="10" t="s">
        <v>205</v>
      </c>
      <c r="J8" s="37"/>
      <c r="K8" s="10"/>
      <c r="L8" s="35"/>
      <c r="M8" s="35"/>
    </row>
    <row r="9" ht="19" customHeight="1" spans="1:13">
      <c r="A9" s="39"/>
      <c r="B9" s="10">
        <v>6</v>
      </c>
      <c r="C9" s="32" t="s">
        <v>51</v>
      </c>
      <c r="D9" s="32" t="s">
        <v>80</v>
      </c>
      <c r="E9" s="10" t="s">
        <v>80</v>
      </c>
      <c r="F9" s="33"/>
      <c r="G9" s="33">
        <v>40</v>
      </c>
      <c r="H9" s="34">
        <f t="shared" si="0"/>
        <v>40</v>
      </c>
      <c r="I9" s="10" t="s">
        <v>209</v>
      </c>
      <c r="J9" s="37"/>
      <c r="K9" s="10"/>
      <c r="L9" s="35"/>
      <c r="M9" s="35"/>
    </row>
    <row r="10" ht="19" customHeight="1" spans="1:13">
      <c r="A10" s="39"/>
      <c r="B10" s="10">
        <v>7</v>
      </c>
      <c r="C10" s="32" t="s">
        <v>17</v>
      </c>
      <c r="D10" s="32" t="s">
        <v>158</v>
      </c>
      <c r="E10" s="10" t="s">
        <v>211</v>
      </c>
      <c r="F10" s="33">
        <v>1200</v>
      </c>
      <c r="G10" s="33"/>
      <c r="H10" s="34">
        <f t="shared" si="0"/>
        <v>1200</v>
      </c>
      <c r="I10" s="10" t="s">
        <v>212</v>
      </c>
      <c r="J10" s="37"/>
      <c r="K10" s="10"/>
      <c r="L10" s="35"/>
      <c r="M10" s="35"/>
    </row>
    <row r="11" ht="19" customHeight="1" spans="1:13">
      <c r="A11" s="39"/>
      <c r="B11" s="10">
        <v>8</v>
      </c>
      <c r="C11" s="32" t="s">
        <v>13</v>
      </c>
      <c r="D11" s="32" t="s">
        <v>80</v>
      </c>
      <c r="E11" s="10" t="s">
        <v>213</v>
      </c>
      <c r="F11" s="33">
        <v>53</v>
      </c>
      <c r="G11" s="33"/>
      <c r="H11" s="34">
        <f t="shared" si="0"/>
        <v>53</v>
      </c>
      <c r="I11" s="10" t="s">
        <v>212</v>
      </c>
      <c r="J11" s="37"/>
      <c r="K11" s="10"/>
      <c r="L11" s="35"/>
      <c r="M11" s="35"/>
    </row>
    <row r="12" ht="19" customHeight="1" spans="1:13">
      <c r="A12" s="39">
        <v>44596</v>
      </c>
      <c r="B12" s="10">
        <v>9</v>
      </c>
      <c r="C12" s="32" t="s">
        <v>17</v>
      </c>
      <c r="D12" s="32" t="s">
        <v>214</v>
      </c>
      <c r="E12" s="10" t="s">
        <v>215</v>
      </c>
      <c r="F12" s="33"/>
      <c r="G12" s="33">
        <v>60</v>
      </c>
      <c r="H12" s="34">
        <f t="shared" si="0"/>
        <v>60</v>
      </c>
      <c r="I12" s="10" t="s">
        <v>205</v>
      </c>
      <c r="J12" s="37"/>
      <c r="K12" s="10"/>
      <c r="L12" s="35"/>
      <c r="M12" s="35"/>
    </row>
    <row r="13" ht="19" customHeight="1" spans="1:13">
      <c r="A13" s="39"/>
      <c r="B13" s="10">
        <v>10</v>
      </c>
      <c r="C13" s="32" t="s">
        <v>13</v>
      </c>
      <c r="D13" s="10" t="s">
        <v>24</v>
      </c>
      <c r="E13" s="10" t="s">
        <v>216</v>
      </c>
      <c r="F13" s="33">
        <v>15</v>
      </c>
      <c r="G13" s="33"/>
      <c r="H13" s="34">
        <f t="shared" si="0"/>
        <v>15</v>
      </c>
      <c r="I13" s="10" t="s">
        <v>212</v>
      </c>
      <c r="J13" s="37"/>
      <c r="K13" s="10"/>
      <c r="L13" s="35"/>
      <c r="M13" s="35"/>
    </row>
    <row r="14" ht="19" customHeight="1" spans="1:13">
      <c r="A14" s="39"/>
      <c r="B14" s="10">
        <v>11</v>
      </c>
      <c r="C14" s="32" t="s">
        <v>62</v>
      </c>
      <c r="D14" s="10" t="s">
        <v>24</v>
      </c>
      <c r="E14" s="10" t="s">
        <v>210</v>
      </c>
      <c r="F14" s="33"/>
      <c r="G14" s="33">
        <v>163</v>
      </c>
      <c r="H14" s="34">
        <f t="shared" si="0"/>
        <v>163</v>
      </c>
      <c r="I14" s="10" t="s">
        <v>205</v>
      </c>
      <c r="J14" s="37"/>
      <c r="K14" s="10"/>
      <c r="L14" s="35"/>
      <c r="M14" s="35"/>
    </row>
    <row r="15" ht="19" customHeight="1" spans="1:13">
      <c r="A15" s="39"/>
      <c r="B15" s="10">
        <v>12</v>
      </c>
      <c r="C15" s="32" t="s">
        <v>51</v>
      </c>
      <c r="D15" s="10" t="s">
        <v>24</v>
      </c>
      <c r="E15" s="10"/>
      <c r="F15" s="33"/>
      <c r="G15" s="33">
        <v>35</v>
      </c>
      <c r="H15" s="34">
        <f t="shared" si="0"/>
        <v>35</v>
      </c>
      <c r="I15" s="10" t="s">
        <v>209</v>
      </c>
      <c r="J15" s="37"/>
      <c r="K15" s="10"/>
      <c r="L15" s="35"/>
      <c r="M15" s="35"/>
    </row>
    <row r="16" ht="19" customHeight="1" spans="1:13">
      <c r="A16" s="31">
        <v>44597</v>
      </c>
      <c r="B16" s="40">
        <v>13</v>
      </c>
      <c r="C16" s="32" t="s">
        <v>17</v>
      </c>
      <c r="D16" s="10" t="s">
        <v>158</v>
      </c>
      <c r="E16" s="10" t="s">
        <v>42</v>
      </c>
      <c r="F16" s="33">
        <v>1005</v>
      </c>
      <c r="G16" s="33"/>
      <c r="H16" s="34">
        <f t="shared" si="0"/>
        <v>1005</v>
      </c>
      <c r="I16" s="10" t="s">
        <v>212</v>
      </c>
      <c r="J16" s="37"/>
      <c r="K16" s="10"/>
      <c r="L16" s="35"/>
      <c r="M16" s="35"/>
    </row>
    <row r="17" ht="19" customHeight="1" spans="1:13">
      <c r="A17" s="36"/>
      <c r="B17" s="40">
        <v>14</v>
      </c>
      <c r="C17" s="32" t="s">
        <v>13</v>
      </c>
      <c r="D17" s="10" t="s">
        <v>24</v>
      </c>
      <c r="E17" s="10" t="s">
        <v>217</v>
      </c>
      <c r="F17" s="33">
        <v>23</v>
      </c>
      <c r="G17" s="33"/>
      <c r="H17" s="34">
        <f t="shared" si="0"/>
        <v>23</v>
      </c>
      <c r="I17" s="10" t="s">
        <v>212</v>
      </c>
      <c r="J17" s="41" t="s">
        <v>218</v>
      </c>
      <c r="K17" s="10"/>
      <c r="L17" s="35"/>
      <c r="M17" s="35"/>
    </row>
    <row r="18" ht="31" spans="1:13">
      <c r="A18" s="36"/>
      <c r="B18" s="40">
        <v>15</v>
      </c>
      <c r="C18" s="32" t="s">
        <v>13</v>
      </c>
      <c r="D18" s="32" t="s">
        <v>219</v>
      </c>
      <c r="E18" s="10" t="s">
        <v>220</v>
      </c>
      <c r="F18" s="33"/>
      <c r="G18" s="33">
        <v>15</v>
      </c>
      <c r="H18" s="34">
        <f t="shared" si="0"/>
        <v>15</v>
      </c>
      <c r="I18" s="10" t="s">
        <v>205</v>
      </c>
      <c r="J18" s="41" t="s">
        <v>221</v>
      </c>
      <c r="K18" s="10"/>
      <c r="L18" s="35"/>
      <c r="M18" s="35"/>
    </row>
    <row r="19" ht="19" customHeight="1" spans="1:13">
      <c r="A19" s="36"/>
      <c r="B19" s="40">
        <v>16</v>
      </c>
      <c r="C19" s="32" t="s">
        <v>23</v>
      </c>
      <c r="D19" s="32"/>
      <c r="E19" s="10" t="s">
        <v>222</v>
      </c>
      <c r="F19" s="33">
        <v>512</v>
      </c>
      <c r="G19" s="33">
        <v>20</v>
      </c>
      <c r="H19" s="34">
        <f t="shared" si="0"/>
        <v>532</v>
      </c>
      <c r="I19" s="10" t="s">
        <v>212</v>
      </c>
      <c r="J19" s="37"/>
      <c r="K19" s="10"/>
      <c r="L19" s="35"/>
      <c r="M19" s="35"/>
    </row>
    <row r="20" ht="19" customHeight="1" spans="1:13">
      <c r="A20" s="42" t="s">
        <v>56</v>
      </c>
      <c r="B20" s="43"/>
      <c r="C20" s="43"/>
      <c r="D20" s="43"/>
      <c r="E20" s="44"/>
      <c r="F20" s="45">
        <f>SUM(F4:F19)</f>
        <v>3048</v>
      </c>
      <c r="G20" s="45">
        <f>SUM(G4:G19)</f>
        <v>624</v>
      </c>
      <c r="H20" s="46">
        <f>SUM(H4:H19)</f>
        <v>3672</v>
      </c>
      <c r="I20" s="26"/>
      <c r="J20" s="47"/>
      <c r="K20" s="10"/>
      <c r="L20" s="35"/>
      <c r="M20" s="35"/>
    </row>
    <row r="21" spans="1:13">
      <c r="A21" s="48"/>
      <c r="B21" s="49"/>
      <c r="C21" s="49"/>
      <c r="D21" s="49"/>
      <c r="E21" s="49"/>
      <c r="F21" s="49"/>
      <c r="G21" s="50"/>
      <c r="H21" s="50"/>
      <c r="I21" s="49"/>
      <c r="J21" s="51"/>
      <c r="K21" s="49"/>
      <c r="L21" s="49"/>
      <c r="M21" s="49"/>
    </row>
    <row r="22" spans="1:13">
      <c r="A22" s="52"/>
      <c r="B22" s="52"/>
      <c r="C22" s="52"/>
      <c r="D22" s="52"/>
      <c r="E22" s="52"/>
      <c r="F22" s="52"/>
      <c r="G22" s="13" t="s">
        <v>59</v>
      </c>
    </row>
    <row r="23" spans="1:13">
      <c r="A23" s="52"/>
      <c r="B23" s="52"/>
      <c r="C23" s="52"/>
      <c r="D23" s="52"/>
      <c r="E23" s="52"/>
      <c r="F23" s="52"/>
    </row>
    <row r="24" spans="1:13">
      <c r="A24" s="53" t="s">
        <v>57</v>
      </c>
      <c r="B24" s="32" t="s">
        <v>23</v>
      </c>
      <c r="C24" s="54">
        <v>20</v>
      </c>
      <c r="E24" s="10" t="s">
        <v>3</v>
      </c>
      <c r="F24" s="10" t="s">
        <v>6</v>
      </c>
      <c r="G24" s="55" t="s">
        <v>58</v>
      </c>
    </row>
    <row r="25" spans="1:13">
      <c r="A25" s="56"/>
      <c r="B25" s="32" t="s">
        <v>17</v>
      </c>
      <c r="C25" s="54">
        <v>60</v>
      </c>
      <c r="D25" s="57"/>
      <c r="E25" s="10" t="s">
        <v>60</v>
      </c>
      <c r="F25" s="58">
        <v>1000</v>
      </c>
      <c r="G25" s="58">
        <f>F25</f>
        <v>1000</v>
      </c>
    </row>
    <row r="26" spans="1:13">
      <c r="A26" s="56"/>
      <c r="B26" s="32" t="s">
        <v>13</v>
      </c>
      <c r="C26" s="54">
        <v>15</v>
      </c>
      <c r="D26" s="57"/>
      <c r="E26" s="10" t="s">
        <v>61</v>
      </c>
      <c r="F26" s="58">
        <f>F10+F11+F13+F16+F17+F19</f>
        <v>2808</v>
      </c>
      <c r="G26" s="58">
        <f>F26+F27</f>
        <v>3048</v>
      </c>
    </row>
    <row r="27" spans="1:13">
      <c r="A27" s="56"/>
      <c r="B27" s="32" t="s">
        <v>62</v>
      </c>
      <c r="C27" s="54">
        <v>424</v>
      </c>
      <c r="D27" s="57"/>
      <c r="E27" s="10" t="s">
        <v>63</v>
      </c>
      <c r="F27" s="58">
        <f>F5+F6</f>
        <v>240</v>
      </c>
      <c r="G27" s="58"/>
    </row>
    <row r="28" spans="1:13">
      <c r="A28" s="56"/>
      <c r="B28" s="32" t="s">
        <v>51</v>
      </c>
      <c r="C28" s="54">
        <v>105</v>
      </c>
      <c r="D28" s="57"/>
      <c r="E28" s="10" t="s">
        <v>64</v>
      </c>
      <c r="F28" s="58">
        <f>G20</f>
        <v>624</v>
      </c>
      <c r="G28" s="58">
        <f>F28</f>
        <v>624</v>
      </c>
    </row>
    <row r="29" spans="1:13">
      <c r="A29" s="56"/>
      <c r="B29" s="32" t="s">
        <v>54</v>
      </c>
      <c r="C29" s="59">
        <v>0</v>
      </c>
      <c r="D29" s="57"/>
      <c r="E29" s="10" t="s">
        <v>65</v>
      </c>
      <c r="F29" s="58">
        <f>F25-F28</f>
        <v>376</v>
      </c>
      <c r="G29" s="58">
        <f>F29</f>
        <v>376</v>
      </c>
    </row>
    <row r="30" spans="1:13">
      <c r="A30" s="60"/>
      <c r="B30" s="6" t="s">
        <v>56</v>
      </c>
      <c r="C30" s="6">
        <f>SUM(C24:C29)</f>
        <v>624</v>
      </c>
      <c r="D30" s="57"/>
      <c r="E30" s="10" t="s">
        <v>66</v>
      </c>
      <c r="F30" s="58">
        <v>0</v>
      </c>
      <c r="G30" s="58">
        <f>F30</f>
        <v>0</v>
      </c>
    </row>
    <row r="31" spans="1:13">
      <c r="D31" s="3"/>
    </row>
    <row r="32" spans="1:13">
      <c r="A32" s="61" t="s">
        <v>58</v>
      </c>
      <c r="B32" s="32" t="s">
        <v>23</v>
      </c>
      <c r="C32" s="59">
        <v>532</v>
      </c>
    </row>
    <row r="33" spans="1:3">
      <c r="A33" s="62"/>
      <c r="B33" s="32" t="s">
        <v>17</v>
      </c>
      <c r="C33" s="59">
        <v>2493</v>
      </c>
    </row>
    <row r="34" spans="1:3">
      <c r="A34" s="62"/>
      <c r="B34" s="32" t="s">
        <v>13</v>
      </c>
      <c r="C34" s="59">
        <v>118</v>
      </c>
    </row>
    <row r="35" spans="1:3">
      <c r="A35" s="62"/>
      <c r="B35" s="32" t="s">
        <v>62</v>
      </c>
      <c r="C35" s="59">
        <v>424</v>
      </c>
    </row>
    <row r="36" spans="1:3">
      <c r="A36" s="62"/>
      <c r="B36" s="32" t="s">
        <v>51</v>
      </c>
      <c r="C36" s="59">
        <v>105</v>
      </c>
    </row>
    <row r="37" spans="1:3">
      <c r="A37" s="62"/>
      <c r="B37" s="32" t="s">
        <v>54</v>
      </c>
      <c r="C37" s="59">
        <v>0</v>
      </c>
    </row>
    <row r="38" spans="1:3">
      <c r="A38" s="63"/>
      <c r="B38" s="6" t="s">
        <v>56</v>
      </c>
      <c r="C38" s="6">
        <f>SUM(C32:C37)</f>
        <v>3672</v>
      </c>
    </row>
  </sheetData>
  <autoFilter xmlns:etc="http://www.wps.cn/officeDocument/2017/etCustomData" ref="A3:M20" etc:filterBottomFollowUsedRange="0">
    <extLst/>
  </autoFilter>
  <mergeCells count="19">
    <mergeCell ref="A1:J1"/>
    <mergeCell ref="F2:H2"/>
    <mergeCell ref="A20:E20"/>
    <mergeCell ref="A22:E22"/>
    <mergeCell ref="A2:A3"/>
    <mergeCell ref="A4:A7"/>
    <mergeCell ref="A8:A11"/>
    <mergeCell ref="A12:A15"/>
    <mergeCell ref="A16:A19"/>
    <mergeCell ref="A24:A30"/>
    <mergeCell ref="A32:A38"/>
    <mergeCell ref="B2:B3"/>
    <mergeCell ref="C2:C3"/>
    <mergeCell ref="D2:D3"/>
    <mergeCell ref="E2:E3"/>
    <mergeCell ref="G26:G27"/>
    <mergeCell ref="I2:I3"/>
    <mergeCell ref="J2:J3"/>
    <mergeCell ref="K2:M3"/>
  </mergeCells>
  <printOptions horizontalCentered="1"/>
  <pageMargins left="0.2" right="0.180555555555556" top="0.16875" bottom="0.207638888888889" header="0.16875" footer="0.16875"/>
  <pageSetup paperSize="9" scale="75" orientation="landscape" horizontalDpi="600" verticalDpi="300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4"/>
  <sheetViews>
    <sheetView workbookViewId="0">
      <selection activeCell="G21" sqref="G21"/>
    </sheetView>
  </sheetViews>
  <sheetFormatPr defaultColWidth="9" defaultRowHeight="16.8" outlineLevelCol="5"/>
  <cols>
    <col min="1" max="1" width="11.75" style="2" customWidth="1"/>
    <col min="2" max="2" width="13.125" style="3" customWidth="1"/>
    <col min="3" max="3" width="10.75" style="3" customWidth="1"/>
    <col min="4" max="6" width="12.5" style="3" customWidth="1"/>
    <col min="7" max="16384" width="9" style="3"/>
  </cols>
  <sheetData>
    <row r="1" s="1" customFormat="1" ht="26" customHeight="1" spans="1:6">
      <c r="A1" s="4" t="s">
        <v>1</v>
      </c>
      <c r="B1" s="5" t="s">
        <v>223</v>
      </c>
      <c r="C1" s="6" t="s">
        <v>224</v>
      </c>
      <c r="D1" s="7" t="s">
        <v>225</v>
      </c>
      <c r="E1" s="7" t="s">
        <v>226</v>
      </c>
      <c r="F1" s="7" t="s">
        <v>6</v>
      </c>
    </row>
    <row r="2" ht="26" customHeight="1" spans="1:6">
      <c r="A2" s="8">
        <v>44594</v>
      </c>
      <c r="B2" s="9" t="s">
        <v>203</v>
      </c>
      <c r="C2" s="10" t="s">
        <v>227</v>
      </c>
      <c r="D2" s="11" t="s">
        <v>228</v>
      </c>
      <c r="E2" s="11">
        <v>1</v>
      </c>
      <c r="F2" s="11">
        <v>103</v>
      </c>
    </row>
    <row r="3" ht="26" customHeight="1" spans="1:6">
      <c r="A3" s="8">
        <v>44595</v>
      </c>
      <c r="B3" s="9" t="s">
        <v>80</v>
      </c>
      <c r="C3" s="10" t="s">
        <v>229</v>
      </c>
      <c r="D3" s="11" t="s">
        <v>228</v>
      </c>
      <c r="E3" s="11">
        <v>1</v>
      </c>
      <c r="F3" s="11">
        <v>158</v>
      </c>
    </row>
    <row r="4" ht="26" customHeight="1" spans="1:6">
      <c r="A4" s="8">
        <v>44596</v>
      </c>
      <c r="B4" s="9" t="s">
        <v>24</v>
      </c>
      <c r="C4" s="10" t="s">
        <v>230</v>
      </c>
      <c r="D4" s="11" t="s">
        <v>228</v>
      </c>
      <c r="E4" s="11">
        <v>1</v>
      </c>
      <c r="F4" s="11">
        <v>163</v>
      </c>
    </row>
    <row r="5" ht="26" customHeight="1" spans="1:6">
      <c r="A5" s="8"/>
      <c r="B5" s="9"/>
      <c r="C5" s="10"/>
      <c r="D5" s="11"/>
      <c r="E5" s="11"/>
      <c r="F5" s="11"/>
    </row>
    <row r="6" ht="26" customHeight="1" spans="1:6">
      <c r="A6" s="8"/>
      <c r="B6" s="9"/>
      <c r="C6" s="10"/>
      <c r="D6" s="11"/>
      <c r="E6" s="11"/>
      <c r="F6" s="11"/>
    </row>
    <row r="7" ht="26" customHeight="1" spans="1:6">
      <c r="A7" s="8"/>
      <c r="B7" s="9"/>
      <c r="C7" s="10"/>
      <c r="D7" s="11"/>
      <c r="E7" s="11"/>
      <c r="F7" s="11"/>
    </row>
    <row r="8" ht="26" customHeight="1" spans="1:6">
      <c r="A8" s="8"/>
      <c r="B8" s="9"/>
      <c r="C8" s="10"/>
      <c r="D8" s="11"/>
      <c r="E8" s="11"/>
      <c r="F8" s="11"/>
    </row>
    <row r="9" ht="26" customHeight="1" spans="1:6">
      <c r="A9" s="8"/>
      <c r="B9" s="9"/>
      <c r="C9" s="10"/>
      <c r="D9" s="11"/>
      <c r="E9" s="11"/>
      <c r="F9" s="11"/>
    </row>
    <row r="10" ht="26" customHeight="1" spans="1:6">
      <c r="A10" s="8"/>
      <c r="B10" s="9"/>
      <c r="C10" s="10"/>
      <c r="D10" s="11"/>
      <c r="E10" s="11"/>
      <c r="F10" s="11"/>
    </row>
    <row r="11" ht="26" customHeight="1" spans="1:6">
      <c r="A11" s="8"/>
      <c r="B11" s="9"/>
      <c r="C11" s="10"/>
      <c r="D11" s="11"/>
      <c r="E11" s="11"/>
      <c r="F11" s="11"/>
    </row>
    <row r="12" ht="26" customHeight="1" spans="1:6">
      <c r="A12" s="8"/>
      <c r="B12" s="9"/>
      <c r="C12" s="10"/>
      <c r="D12" s="11"/>
      <c r="E12" s="11"/>
      <c r="F12" s="11"/>
    </row>
    <row r="13" ht="26" customHeight="1" spans="1:6">
      <c r="A13" s="8"/>
      <c r="B13" s="9"/>
      <c r="C13" s="10"/>
      <c r="D13" s="11"/>
      <c r="E13" s="11"/>
      <c r="F13" s="11"/>
    </row>
    <row r="14" ht="26" customHeight="1" spans="1:6">
      <c r="A14" s="8"/>
      <c r="B14" s="9"/>
      <c r="C14" s="10"/>
      <c r="D14" s="11"/>
      <c r="E14" s="11"/>
      <c r="F14" s="11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差旅费 (2026年04月-赵金瓯)</vt:lpstr>
      <vt:lpstr>差旅费 (2026年03月-赵金瓯)</vt:lpstr>
      <vt:lpstr>差旅费 (2025年10月-赵金瓯)  </vt:lpstr>
      <vt:lpstr>差旅费 (2025年4月-赵金瓯)   (2)</vt:lpstr>
      <vt:lpstr>差旅费 (2024年11月宝骏广州车展-赵金瓯) </vt:lpstr>
      <vt:lpstr>差旅费 (2024年09月方程豹北京站-赵金瓯) </vt:lpstr>
      <vt:lpstr>差旅费 (2023年7月717音乐节-赵金瓯)  </vt:lpstr>
      <vt:lpstr>差旅费 (2023年4月520烧烤-赵金瓯) </vt:lpstr>
      <vt:lpstr>差旅费 (2023年4月一丰大会-赵金瓯)</vt:lpstr>
      <vt:lpstr>差旅费 (2023一丰大会-赵金瓯)</vt:lpstr>
      <vt:lpstr>差旅费</vt:lpstr>
      <vt:lpstr>招待费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kino</cp:lastModifiedBy>
  <dcterms:created xsi:type="dcterms:W3CDTF">2006-09-23T03:21:00Z</dcterms:created>
  <dcterms:modified xsi:type="dcterms:W3CDTF">2026-04-27T14:46:35Z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0EF53FC04B90777765F4EE692BAF170C_43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